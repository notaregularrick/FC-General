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723AU\Downloads\"/>
    </mc:Choice>
  </mc:AlternateContent>
  <xr:revisionPtr revIDLastSave="0" documentId="8_{27D93E43-EE01-45AB-9A34-43B127ECD2D2}" xr6:coauthVersionLast="47" xr6:coauthVersionMax="47" xr10:uidLastSave="{00000000-0000-0000-0000-000000000000}"/>
  <bookViews>
    <workbookView xWindow="-110" yWindow="-110" windowWidth="19420" windowHeight="10300" xr2:uid="{C643C582-7B8F-476B-8349-18B9AD2C46F5}"/>
  </bookViews>
  <sheets>
    <sheet name="Tasas de Cambio 2025" sheetId="2" r:id="rId1"/>
  </sheets>
  <externalReferences>
    <externalReference r:id="rId2"/>
  </externalReferences>
  <definedNames>
    <definedName name="\c">#REF!</definedName>
    <definedName name="\p">#REF!</definedName>
    <definedName name="___dic11">#REF!</definedName>
    <definedName name="___RB128">#REF!</definedName>
    <definedName name="___tit1">"PROYECTO ELABORADO POR : FUENTE - MAS LARA ARQUITECTOS C.A."</definedName>
    <definedName name="__123Graph_A" hidden="1">#REF!</definedName>
    <definedName name="__123Graph_AMAKIKO" hidden="1">#REF!</definedName>
    <definedName name="__123Graph_AMAKIKO2" hidden="1">#REF!</definedName>
    <definedName name="__123Graph_B" hidden="1">#REF!</definedName>
    <definedName name="__123Graph_BMAKIKO" hidden="1">#REF!</definedName>
    <definedName name="__123Graph_BMAKIKO2" hidden="1">#REF!</definedName>
    <definedName name="__123Graph_C" hidden="1">#REF!</definedName>
    <definedName name="__123Graph_CMAKIKO" hidden="1">#REF!</definedName>
    <definedName name="__123Graph_CMAKIKO2" hidden="1">#REF!</definedName>
    <definedName name="__123Graph_D" hidden="1">#REF!</definedName>
    <definedName name="__123Graph_DMAKIKO" hidden="1">#REF!</definedName>
    <definedName name="__123Graph_DMAKIKO2" hidden="1">#REF!</definedName>
    <definedName name="__123Graph_E" hidden="1">#REF!</definedName>
    <definedName name="__123Graph_EMAKIKO" hidden="1">#REF!</definedName>
    <definedName name="__123Graph_EMAKIKO2" hidden="1">#REF!</definedName>
    <definedName name="__123Graph_X" hidden="1">#REF!</definedName>
    <definedName name="__123Graph_XMAKIKO" hidden="1">#REF!</definedName>
    <definedName name="__123Graph_XMAKIKO2" hidden="1">#REF!</definedName>
    <definedName name="__dic11">#REF!</definedName>
    <definedName name="__RB128">#REF!</definedName>
    <definedName name="__tit1">"PROYECTO ELABORADO POR : FUENTE - MAS LARA ARQUITECTOS C.A."</definedName>
    <definedName name="_2">#REF!</definedName>
    <definedName name="_4">#REF!</definedName>
    <definedName name="_5">#REF!</definedName>
    <definedName name="_6">#REF!</definedName>
    <definedName name="_dic11">#REF!</definedName>
    <definedName name="_Fill" hidden="1">#REF!</definedName>
    <definedName name="_NEG1">#REF!</definedName>
    <definedName name="_NEG2">#REF!</definedName>
    <definedName name="_NEG3">#REF!</definedName>
    <definedName name="_NEG4">#REF!</definedName>
    <definedName name="_NEG5">#REF!</definedName>
    <definedName name="_NEG6">#REF!</definedName>
    <definedName name="_NEG7">#REF!</definedName>
    <definedName name="_NEG8">#REF!</definedName>
    <definedName name="_RB128">#REF!</definedName>
    <definedName name="_tit1">"PROYECTO ELABORADO POR : FUENTE - MAS LARA ARQUITECTOS C.A."</definedName>
    <definedName name="a" hidden="1">#REF!</definedName>
    <definedName name="AA">#REF!</definedName>
    <definedName name="aaa">#N/A</definedName>
    <definedName name="abril12">#REF!</definedName>
    <definedName name="AmortizaciónInterés">#N/A</definedName>
    <definedName name="Años_préstamo">#REF!</definedName>
    <definedName name="AñosPréstamo">#REF!</definedName>
    <definedName name="ÁreaImpresión_ESTABLECIDA">#N/A</definedName>
    <definedName name="AT.ENUMERACION">#REF!</definedName>
    <definedName name="AT.MANUAL.MONTO04">#REF!</definedName>
    <definedName name="AT.MANUAL.MONTO05">#REF!</definedName>
    <definedName name="AT.MANUAL.RECIBO05">#REF!</definedName>
    <definedName name="BACTOFUGADORA.COSTO_LITRO">#REF!</definedName>
    <definedName name="BACTOFUGADORA.LITROS">#REF!</definedName>
    <definedName name="BACTOFUGADORA.PRECIOS">#REF!</definedName>
    <definedName name="Barquisimeto">#REF!</definedName>
    <definedName name="BASE">#REF!</definedName>
    <definedName name="BASE.TABLA">#REF!</definedName>
    <definedName name="BASE4">#REF!</definedName>
    <definedName name="BASEE">#REF!</definedName>
    <definedName name="Beg_Bal">#REF!</definedName>
    <definedName name="BORRAR">Scheduled_Payment+Extra_Payment</definedName>
    <definedName name="Caja_seca">#REF!</definedName>
    <definedName name="calculo">#REF!</definedName>
    <definedName name="CantidadPréstamo">#REF!</definedName>
    <definedName name="Capital">#REF!</definedName>
    <definedName name="Caracas">#REF!</definedName>
    <definedName name="CARPETA_PRINCIPAL">#REF!</definedName>
    <definedName name="CatForecast">#REF!</definedName>
    <definedName name="ColumnTitle1">#REF!</definedName>
    <definedName name="Consolidado">#REF!</definedName>
    <definedName name="conversion">#REF!</definedName>
    <definedName name="CosteTotalPréstamo">#REF!</definedName>
    <definedName name="Data">#REF!</definedName>
    <definedName name="_xlnm.Database">#REF!</definedName>
    <definedName name="Datos">#REF!</definedName>
    <definedName name="Descuentos.Actual.Acum.Total">#REF!</definedName>
    <definedName name="Descuentos.Actual.Mes.Total">#REF!</definedName>
    <definedName name="Descuentos.Last.Acum.Total">#REF!</definedName>
    <definedName name="Descuentos.Last.Mes.Total">#REF!</definedName>
    <definedName name="DEUDA.CODIGO">#REF!</definedName>
    <definedName name="DEUDA.FECHA_REGISTRO">#REF!</definedName>
    <definedName name="DEUDA.RECIBO">#REF!</definedName>
    <definedName name="Día_de_pago">#N/A</definedName>
    <definedName name="dolar">#REF!</definedName>
    <definedName name="DOLARES">#REF!</definedName>
    <definedName name="Efectivo">Scheduled_Payment+Extra_Payment</definedName>
    <definedName name="EJERCICIO">#REF!</definedName>
    <definedName name="End_Bal">#REF!</definedName>
    <definedName name="enero12">#REF!</definedName>
    <definedName name="ESCENARIOS">#REF!</definedName>
    <definedName name="Excel_BuiltIn_Print_Area_1_1_1_2">#REF!</definedName>
    <definedName name="Excel_BuiltIn_Print_Area_1_1_1_3">#REF!</definedName>
    <definedName name="Excel_BuiltIn_Print_Area_1_1_1_4">#REF!</definedName>
    <definedName name="Excel_BuiltIn_Print_Area_1_1_1_5">#REF!</definedName>
    <definedName name="Excel_BuiltIn_Print_Area_1_2">#REF!</definedName>
    <definedName name="Excel_BuiltIn_Print_Area_1_3">#REF!</definedName>
    <definedName name="Excel_BuiltIn_Print_Area_1_4">#REF!</definedName>
    <definedName name="Excel_BuiltIn_Print_Area_1_5">#REF!</definedName>
    <definedName name="EXPO">#REF!</definedName>
    <definedName name="Extra_Pay">#REF!</definedName>
    <definedName name="ExtraPayments">#REF!</definedName>
    <definedName name="Fecha_de_pago">#REF!</definedName>
    <definedName name="FechaDePago">#N/A</definedName>
    <definedName name="FechaInicioPréstamo">#REF!</definedName>
    <definedName name="ffebrero12">#REF!</definedName>
    <definedName name="Fila_de_encabezado">ROW(#REF!)</definedName>
    <definedName name="FilaEncabezados">ROW(#REF!)</definedName>
    <definedName name="FLETE.FECHA_REGISTRO">#REF!</definedName>
    <definedName name="FLETE.MONTO">#REF!</definedName>
    <definedName name="fmarzo12">#REF!</definedName>
    <definedName name="ForeCast">#REF!</definedName>
    <definedName name="form">#REF!*#REF!</definedName>
    <definedName name="Full_Print">#REF!</definedName>
    <definedName name="GYP.Mayo.Costo.Ventas.Total">#REF!</definedName>
    <definedName name="GYP.Mayo.Ventas.Brutas">#REF!</definedName>
    <definedName name="GYP.Mayo.Ventas.Netas">#REF!</definedName>
    <definedName name="Header_Row">ROW(#REF!)</definedName>
    <definedName name="hola">#REF!</definedName>
    <definedName name="Importe_del_préstamo">#REF!</definedName>
    <definedName name="ImporteDelPréstamo">#REF!</definedName>
    <definedName name="ImporteTotalDePagosAnticipados">SUM(#REF!)</definedName>
    <definedName name="Impresión_completa">#REF!</definedName>
    <definedName name="Imprimir_área_IM">#REF!</definedName>
    <definedName name="incremento">#REF!</definedName>
    <definedName name="Inicio_prestamo">#REF!</definedName>
    <definedName name="Int">#REF!</definedName>
    <definedName name="Int_acum">#REF!</definedName>
    <definedName name="Interés_total">#REF!</definedName>
    <definedName name="Interest_Rate">#REF!</definedName>
    <definedName name="InterestRate">#REF!</definedName>
    <definedName name="jjjjj">#N/A</definedName>
    <definedName name="Last_Row">#N/A</definedName>
    <definedName name="LastRow">MATCH(9.99E+307,#REF!)</definedName>
    <definedName name="LenderName">#REF!</definedName>
    <definedName name="LITROS">#REF!</definedName>
    <definedName name="Loan_Amount">#REF!</definedName>
    <definedName name="Loan_Start">#REF!</definedName>
    <definedName name="Loan_Years">#REF!</definedName>
    <definedName name="LoanIsGood">(#REF!*#REF!*#REF!*#REF!)&gt;0</definedName>
    <definedName name="LoanPeriod">#REF!</definedName>
    <definedName name="LoanStartDate">#REF!</definedName>
    <definedName name="m">"Menos"</definedName>
    <definedName name="Makro">#REF!</definedName>
    <definedName name="Maracaibo">#REF!</definedName>
    <definedName name="marzo11">#REF!</definedName>
    <definedName name="Minuta">#REF!</definedName>
    <definedName name="Núm_de_pago">#REF!</definedName>
    <definedName name="Núm_pagos_al_año">#REF!</definedName>
    <definedName name="Number_of_Payments">#N/A</definedName>
    <definedName name="Número_de_pagos">#N/A</definedName>
    <definedName name="NúmeroDePago">ROW()-FilaEncabezados</definedName>
    <definedName name="NúmeroDePagos">#REF!</definedName>
    <definedName name="NúmeroDePagosProgramados">#REF!</definedName>
    <definedName name="NúmeroRealDePagos" localSheetId="0">IFERROR(IF(LoanIsGood,IF(PaymentsPerYear=1,1,MATCH(0.01,End_Bal,-1)+1)),"")</definedName>
    <definedName name="NúmeroRealDePagos">#N/A</definedName>
    <definedName name="oscar">#REF!</definedName>
    <definedName name="P">#REF!</definedName>
    <definedName name="PAGADO">#REF!</definedName>
    <definedName name="Pago_adicional">#REF!</definedName>
    <definedName name="Pago_mensual_programado">#REF!</definedName>
    <definedName name="Pago_progr">#REF!</definedName>
    <definedName name="Pago_total">#REF!</definedName>
    <definedName name="PagoMensual">-PMT(TasaInterés/12,NúmeroDePagos,CantidadPréstamo)</definedName>
    <definedName name="PagoProgramado">#REF!</definedName>
    <definedName name="Pagos_adicionales_programados">#REF!</definedName>
    <definedName name="Pay_Date">#REF!</definedName>
    <definedName name="Pay_Num">#REF!</definedName>
    <definedName name="Payment_Date">#N/A</definedName>
    <definedName name="PaymentsPerYear">#REF!</definedName>
    <definedName name="PP">#REF!</definedName>
    <definedName name="PRECIO">#REF!</definedName>
    <definedName name="PRECIO.CODIGO">#REF!</definedName>
    <definedName name="PRECIO.FACTURACION">#REF!</definedName>
    <definedName name="PRECIO.PROMEDIO">#REF!</definedName>
    <definedName name="PREFIJO_NOMINA">#REF!</definedName>
    <definedName name="PREFIJO_RECIBOS">#REF!</definedName>
    <definedName name="PréstamoNoPagado">#N/A</definedName>
    <definedName name="PréstamoPagado">IF(CantidadPréstamo*TasaInterés*AñosPréstamo*FechaInicioPréstamo&gt;0,1,0)</definedName>
    <definedName name="Princ">#REF!</definedName>
    <definedName name="Print_Area_Reset">#N/A</definedName>
    <definedName name="PrintArea_SET" localSheetId="0">OFFSET('Tasas de Cambio 2025'!#REF!,,,LastRow,ÚltimaColumna)</definedName>
    <definedName name="PrintArea_SET">#N/A</definedName>
    <definedName name="PROEDIO">#REF!</definedName>
    <definedName name="prueba" hidden="1">#REF!</definedName>
    <definedName name="pruebajulio11">#REF!</definedName>
    <definedName name="Pto.La_Cruz">#REF!</definedName>
    <definedName name="RAZON_SOCIAL">#REF!</definedName>
    <definedName name="Restablecer_área_de_impresión">#N/A</definedName>
    <definedName name="RowTitleRegion1..E9">#REF!</definedName>
    <definedName name="RowTitleRegion2..I7">#REF!</definedName>
    <definedName name="RowTitleRegion3..E9">#REF!</definedName>
    <definedName name="RowTitleRegion4..H9">#REF!</definedName>
    <definedName name="s" hidden="1">#REF!</definedName>
    <definedName name="Saldo_final">#REF!</definedName>
    <definedName name="Saldo_inicial">#REF!</definedName>
    <definedName name="SaldoFinal">#N/A</definedName>
    <definedName name="saldofinalportafolio">#REF!</definedName>
    <definedName name="San_Cristobal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s">#N/A</definedName>
    <definedName name="Tabla">#REF!</definedName>
    <definedName name="TABLA.AÑO">#REF!</definedName>
    <definedName name="TABLA.CODE">#REF!</definedName>
    <definedName name="TABLA.MONEDA">#REF!</definedName>
    <definedName name="TABLA.TASA.COMPRA">#REF!</definedName>
    <definedName name="TABLA.TASA.VENTA">#REF!</definedName>
    <definedName name="TASA">#REF!</definedName>
    <definedName name="TASA.CODE_FECHA">#REF!</definedName>
    <definedName name="TASA.FECHA">#REF!</definedName>
    <definedName name="TASA.INGRESOS">#REF!</definedName>
    <definedName name="TASA.MONEDA">#REF!</definedName>
    <definedName name="TASA.PAGOS">#REF!</definedName>
    <definedName name="Tasa_de_interés">#REF!</definedName>
    <definedName name="Tasa_de_interés_programada">#REF!</definedName>
    <definedName name="TasaInterés">#REF!</definedName>
    <definedName name="TEXTO">"Texto 26"</definedName>
    <definedName name="TEXTO1">"Texto 26"</definedName>
    <definedName name="tit">"VIVIENDA MULTIFAMILIAR - CALLE LA MANGUERA URB. PEDREGAL CHACAO."</definedName>
    <definedName name="TítuloDeColumna1">#REF!</definedName>
    <definedName name="tot">"TOTAL CAPITULO:"</definedName>
    <definedName name="Total_Interest">#REF!</definedName>
    <definedName name="Total_Pay">#REF!</definedName>
    <definedName name="Total_Payment">Scheduled_Payment+Extra_Payment</definedName>
    <definedName name="TotalDeIntereses" localSheetId="0">SUM('Tasas de Cambio 2025'!#REF!)</definedName>
    <definedName name="TotalDeIntereses">SUM(#REF!)</definedName>
    <definedName name="Última_fila">#N/A</definedName>
    <definedName name="ÚltimaColumna">MATCH(REPT("z",255),#REF!)</definedName>
    <definedName name="ÚltimaFila">MATCH(9.99E+307,#REF!)</definedName>
    <definedName name="Valencia">#REF!</definedName>
    <definedName name="Valores_especificados" localSheetId="0">IF(Importe_del_préstamo*Tasa_de_interés*Años_préstamo*Inicio_prestamo&gt;0,1,0)</definedName>
    <definedName name="Valores_especificados">#N/A</definedName>
    <definedName name="ValorPréstamo">#N/A</definedName>
    <definedName name="Values_Entered">#N/A</definedName>
    <definedName name="ventas">#REF!</definedName>
    <definedName name="Ventas.Actual.Acum.Amarillo">#REF!</definedName>
    <definedName name="Ventas.Actual.Acum.Fundido">#REF!</definedName>
    <definedName name="Ventas.Actual.Acum.Importados">#REF!</definedName>
    <definedName name="Ventas.Actual.Acum.Sub_Productos">#REF!</definedName>
    <definedName name="Ventas.Actual.Acum.Total">#REF!</definedName>
    <definedName name="Ventas.Actual.Mes.Leche">#REF!</definedName>
    <definedName name="Ventas.Actual.Mes.Sub_Productos">#REF!</definedName>
    <definedName name="Ventas.Actual.Mes.Total">#REF!</definedName>
    <definedName name="Ventas.KG.Actual.Acum.Importados">#REF!</definedName>
    <definedName name="Ventas.KG.Actual.Acum.Leche">#REF!</definedName>
    <definedName name="Ventas.KG.Actual.Acum.Sub_Productos">#REF!</definedName>
    <definedName name="Ventas.KG.Actual.Acum.Total">#REF!</definedName>
    <definedName name="Ventas.KG.Actual.Acum.Venmental">#REF!</definedName>
    <definedName name="Ventas.KG.Actual.Mes.Amarillo">#REF!</definedName>
    <definedName name="Ventas.KG.Actual.Mes.Blanco">#REF!</definedName>
    <definedName name="Ventas.KG.Actual.Mes.Extra_Madurado">#REF!</definedName>
    <definedName name="Ventas.KG.Actual.Mes.Fundido">#REF!</definedName>
    <definedName name="Ventas.KG.Actual.Mes.Importados">#REF!</definedName>
    <definedName name="Ventas.KG.Actual.Mes.Leche">#REF!</definedName>
    <definedName name="Ventas.KG.Actual.Mes.Sub_Productos">#REF!</definedName>
    <definedName name="Ventas.KG.Actual.Mes.Total">#REF!</definedName>
    <definedName name="Ventas.KG.Actual.Mes.Venmental">#REF!</definedName>
    <definedName name="Ventas.KG.Last.Acum.Importados">#REF!</definedName>
    <definedName name="Ventas.KG.Last.Acum.Leche">#REF!</definedName>
    <definedName name="Ventas.KG.Last.Acum.Sub_Productos">#REF!</definedName>
    <definedName name="Ventas.KG.Last.Acum.Total">#REF!</definedName>
    <definedName name="Ventas.KG.Last.Acum.Venmental">#REF!</definedName>
    <definedName name="Ventas.KG.Last.Mes.Amarillo">#REF!</definedName>
    <definedName name="Ventas.KG.Last.Mes.Blanco">#REF!</definedName>
    <definedName name="Ventas.KG.Last.Mes.Extra_Madurado">#REF!</definedName>
    <definedName name="Ventas.KG.Last.Mes.Fundido">#REF!</definedName>
    <definedName name="Ventas.KG.Last.Mes.Importados">#REF!</definedName>
    <definedName name="Ventas.KG.Last.Mes.Leche">#REF!</definedName>
    <definedName name="Ventas.KG.Last.Mes.Sub_Productos">#REF!</definedName>
    <definedName name="Ventas.KG.Last.Mes.Total">#REF!</definedName>
    <definedName name="Ventas.KG.Last.Venmental">#REF!</definedName>
    <definedName name="Ventas.Last.Acum.Fundido">#REF!</definedName>
    <definedName name="Ventas.Last.Acum.Importados">#REF!</definedName>
    <definedName name="Ventas.Last.Acum.Sub_Productos">#REF!</definedName>
    <definedName name="Ventas.Last.Acum.Total">#REF!</definedName>
    <definedName name="Ventas.Last.Mes.Amarillo">#REF!</definedName>
    <definedName name="Ventas.Last.Mes.Blanco">#REF!</definedName>
    <definedName name="Ventas.Last.Mes.Extra_Madurado">#REF!</definedName>
    <definedName name="Ventas.Last.Mes.Fundido">#REF!</definedName>
    <definedName name="Ventas.Last.Mes.Importados">#REF!</definedName>
    <definedName name="Ventas.Last.Mes.Leche">#REF!</definedName>
    <definedName name="Ventas.Last.Mes.Sub_Productos">#REF!</definedName>
    <definedName name="Ventas.Last.Mes.Total">#REF!</definedName>
    <definedName name="Ventas.Last.Mes.Venmental">#REF!</definedName>
    <definedName name="w" hidden="1">#REF!</definedName>
    <definedName name="wrn.Riesgo." localSheetId="0" hidden="1">{"Tabla",#N/A,FALSE,"Tabla";"Minuta",#N/A,FALSE,"Tabla"}</definedName>
    <definedName name="wrn.Riesgo.">{"Tabla",#N/A,FALSE,"Tabla";"Minuta",#N/A,FALSE,"Tabla"}</definedName>
    <definedName name="x" hidden="1">#REF!</definedName>
    <definedName name="Yairi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1" i="2" l="1"/>
  <c r="D391" i="2"/>
  <c r="C391" i="2"/>
  <c r="B373" i="2"/>
  <c r="A373" i="2"/>
  <c r="B372" i="2"/>
  <c r="A372" i="2"/>
  <c r="B371" i="2"/>
  <c r="A371" i="2"/>
  <c r="B370" i="2"/>
  <c r="A370" i="2"/>
  <c r="B369" i="2"/>
  <c r="A369" i="2"/>
  <c r="B368" i="2"/>
  <c r="A368" i="2"/>
  <c r="B367" i="2"/>
  <c r="A367" i="2"/>
  <c r="B366" i="2"/>
  <c r="A366" i="2"/>
  <c r="B365" i="2"/>
  <c r="A365" i="2"/>
  <c r="B364" i="2"/>
  <c r="A364" i="2"/>
  <c r="B363" i="2"/>
  <c r="A363" i="2"/>
  <c r="B362" i="2"/>
  <c r="A362" i="2"/>
  <c r="B361" i="2"/>
  <c r="A361" i="2"/>
  <c r="B360" i="2"/>
  <c r="A360" i="2"/>
  <c r="B359" i="2"/>
  <c r="A359" i="2"/>
  <c r="B358" i="2"/>
  <c r="A358" i="2"/>
  <c r="B357" i="2"/>
  <c r="A357" i="2"/>
  <c r="B356" i="2"/>
  <c r="A356" i="2"/>
  <c r="B355" i="2"/>
  <c r="A355" i="2"/>
  <c r="B354" i="2"/>
  <c r="A354" i="2"/>
  <c r="B353" i="2"/>
  <c r="A353" i="2"/>
  <c r="B352" i="2"/>
  <c r="A352" i="2"/>
  <c r="B351" i="2"/>
  <c r="A351" i="2"/>
  <c r="B350" i="2"/>
  <c r="A350" i="2"/>
  <c r="B349" i="2"/>
  <c r="A349" i="2"/>
  <c r="B348" i="2"/>
  <c r="A348" i="2"/>
  <c r="B347" i="2"/>
  <c r="A347" i="2"/>
  <c r="B346" i="2"/>
  <c r="A346" i="2"/>
  <c r="B345" i="2"/>
  <c r="A345" i="2"/>
  <c r="B344" i="2"/>
  <c r="A344" i="2"/>
  <c r="B343" i="2"/>
  <c r="A343" i="2"/>
  <c r="B342" i="2"/>
  <c r="A342" i="2"/>
  <c r="B341" i="2"/>
  <c r="A341" i="2"/>
  <c r="B340" i="2"/>
  <c r="A340" i="2"/>
  <c r="B339" i="2"/>
  <c r="A339" i="2"/>
  <c r="B338" i="2"/>
  <c r="A338" i="2"/>
  <c r="B337" i="2"/>
  <c r="A337" i="2"/>
  <c r="B336" i="2"/>
  <c r="A336" i="2"/>
  <c r="B335" i="2"/>
  <c r="A335" i="2"/>
  <c r="B334" i="2"/>
  <c r="A334" i="2"/>
  <c r="B333" i="2"/>
  <c r="A333" i="2"/>
  <c r="B332" i="2"/>
  <c r="A332" i="2"/>
  <c r="B331" i="2"/>
  <c r="A331" i="2"/>
  <c r="B330" i="2"/>
  <c r="A330" i="2"/>
  <c r="B329" i="2"/>
  <c r="A329" i="2"/>
  <c r="B328" i="2"/>
  <c r="A328" i="2"/>
  <c r="B327" i="2"/>
  <c r="A327" i="2"/>
  <c r="B326" i="2"/>
  <c r="A326" i="2"/>
  <c r="B325" i="2"/>
  <c r="A325" i="2"/>
  <c r="B324" i="2"/>
  <c r="A324" i="2"/>
  <c r="B323" i="2"/>
  <c r="A323" i="2"/>
  <c r="B322" i="2"/>
  <c r="A322" i="2"/>
  <c r="B321" i="2"/>
  <c r="A321" i="2"/>
  <c r="B320" i="2"/>
  <c r="A320" i="2"/>
  <c r="B319" i="2"/>
  <c r="A319" i="2"/>
  <c r="B318" i="2"/>
  <c r="A318" i="2"/>
  <c r="B317" i="2"/>
  <c r="A317" i="2"/>
  <c r="B316" i="2"/>
  <c r="A316" i="2"/>
  <c r="B315" i="2"/>
  <c r="A315" i="2"/>
  <c r="B314" i="2"/>
  <c r="A314" i="2"/>
  <c r="B313" i="2"/>
  <c r="A313" i="2"/>
  <c r="B312" i="2"/>
  <c r="A312" i="2"/>
  <c r="B311" i="2"/>
  <c r="A311" i="2"/>
  <c r="B310" i="2"/>
  <c r="A310" i="2"/>
  <c r="B309" i="2"/>
  <c r="A309" i="2"/>
  <c r="B308" i="2"/>
  <c r="A308" i="2"/>
  <c r="B307" i="2"/>
  <c r="A307" i="2"/>
  <c r="B306" i="2"/>
  <c r="A306" i="2"/>
  <c r="B305" i="2"/>
  <c r="A305" i="2"/>
  <c r="B304" i="2"/>
  <c r="A304" i="2"/>
  <c r="B303" i="2"/>
  <c r="A303" i="2"/>
  <c r="B302" i="2"/>
  <c r="A302" i="2"/>
  <c r="B301" i="2"/>
  <c r="A301" i="2"/>
  <c r="B300" i="2"/>
  <c r="A300" i="2"/>
  <c r="B299" i="2"/>
  <c r="A299" i="2"/>
  <c r="B298" i="2"/>
  <c r="A298" i="2"/>
  <c r="B297" i="2"/>
  <c r="A297" i="2"/>
  <c r="B296" i="2"/>
  <c r="A296" i="2"/>
  <c r="B295" i="2"/>
  <c r="A295" i="2"/>
  <c r="B294" i="2"/>
  <c r="A294" i="2"/>
  <c r="B293" i="2"/>
  <c r="A293" i="2"/>
  <c r="B292" i="2"/>
  <c r="A292" i="2"/>
  <c r="B291" i="2"/>
  <c r="A291" i="2"/>
  <c r="B290" i="2"/>
  <c r="A290" i="2"/>
  <c r="B289" i="2"/>
  <c r="A289" i="2"/>
  <c r="B288" i="2"/>
  <c r="A288" i="2"/>
  <c r="B287" i="2"/>
  <c r="A287" i="2"/>
  <c r="B286" i="2"/>
  <c r="A286" i="2"/>
  <c r="B285" i="2"/>
  <c r="A285" i="2"/>
  <c r="B284" i="2"/>
  <c r="A284" i="2"/>
  <c r="B283" i="2"/>
  <c r="A283" i="2"/>
  <c r="B282" i="2"/>
  <c r="A282" i="2"/>
  <c r="B281" i="2"/>
  <c r="A281" i="2"/>
  <c r="B280" i="2"/>
  <c r="A280" i="2"/>
  <c r="B279" i="2"/>
  <c r="A279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E383" i="2" l="1"/>
  <c r="C383" i="2"/>
  <c r="D384" i="2"/>
  <c r="E385" i="2"/>
  <c r="C382" i="2"/>
  <c r="D383" i="2"/>
  <c r="E384" i="2"/>
  <c r="C381" i="2"/>
  <c r="D382" i="2"/>
  <c r="C389" i="2"/>
  <c r="C380" i="2"/>
  <c r="D381" i="2"/>
  <c r="E382" i="2"/>
  <c r="C388" i="2"/>
  <c r="D389" i="2"/>
  <c r="C379" i="2"/>
  <c r="D380" i="2"/>
  <c r="E381" i="2"/>
  <c r="C387" i="2"/>
  <c r="D388" i="2"/>
  <c r="E389" i="2"/>
  <c r="C378" i="2"/>
  <c r="D379" i="2"/>
  <c r="E380" i="2"/>
  <c r="C386" i="2"/>
  <c r="D387" i="2"/>
  <c r="E388" i="2"/>
  <c r="D378" i="2"/>
  <c r="E379" i="2"/>
  <c r="C385" i="2"/>
  <c r="D386" i="2"/>
  <c r="E387" i="2"/>
  <c r="E378" i="2"/>
  <c r="C384" i="2"/>
  <c r="D385" i="2"/>
  <c r="E386" i="2"/>
</calcChain>
</file>

<file path=xl/sharedStrings.xml><?xml version="1.0" encoding="utf-8"?>
<sst xmlns="http://schemas.openxmlformats.org/spreadsheetml/2006/main" count="31" uniqueCount="27">
  <si>
    <t>Banco Central de Venezuela (BCV)</t>
  </si>
  <si>
    <t>Tasas de cambio</t>
  </si>
  <si>
    <t>USD</t>
  </si>
  <si>
    <t>Fecha operación</t>
  </si>
  <si>
    <t>Mes</t>
  </si>
  <si>
    <t>Semana</t>
  </si>
  <si>
    <t>Fecha</t>
  </si>
  <si>
    <t>Compra</t>
  </si>
  <si>
    <t>Venta</t>
  </si>
  <si>
    <t>Enero</t>
  </si>
  <si>
    <t>Febrero</t>
  </si>
  <si>
    <t>Marzo</t>
  </si>
  <si>
    <t>Abril</t>
  </si>
  <si>
    <t>Mayo</t>
  </si>
  <si>
    <t>Junio</t>
  </si>
  <si>
    <t>Agosto</t>
  </si>
  <si>
    <t>Julio</t>
  </si>
  <si>
    <t>Promedio</t>
  </si>
  <si>
    <t>Fecha operación USD</t>
  </si>
  <si>
    <t>Fecha valor USD</t>
  </si>
  <si>
    <t>Nombre mes</t>
  </si>
  <si>
    <t>Septiembre</t>
  </si>
  <si>
    <t>Octubre</t>
  </si>
  <si>
    <t>Noviembre</t>
  </si>
  <si>
    <t>Diciembre</t>
  </si>
  <si>
    <t>Ene - Dic</t>
  </si>
  <si>
    <t>Promedio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</si>
</sst>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6" formatCode="_ * #,##0.0000_ ;_ * \-#,##0.0000_ ;_ * &quot;-&quot;??_ ;_ @_ "/>
    <numFmt numFmtId="167" formatCode="_(* #,##0.0000_);_(* \(#,##0.000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Display"/>
      <family val="2"/>
    </font>
    <font>
      <sz val="10"/>
      <name val="Arial"/>
      <family val="2"/>
    </font>
    <font>
      <b/>
      <sz val="10"/>
      <name val="Aptos Display"/>
      <family val="2"/>
    </font>
    <font>
      <sz val="10"/>
      <name val="Aptos Display"/>
      <family val="2"/>
    </font>
    <font>
      <b/>
      <sz val="10"/>
      <color theme="1"/>
      <name val="Aptos Display"/>
      <family val="2"/>
    </font>
    <font>
      <b/>
      <sz val="10"/>
      <color theme="0"/>
      <name val="Aptos Display"/>
      <family val="2"/>
    </font>
    <font>
      <b/>
      <sz val="10"/>
      <color theme="3"/>
      <name val="Aptos Display"/>
      <family val="2"/>
    </font>
    <font>
      <b/>
      <sz val="10"/>
      <color rgb="FFFFFF00"/>
      <name val="Aptos Display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26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4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6" fillId="0" borderId="0" xfId="0" applyNumberFormat="1" applyFont="1"/>
    <xf numFmtId="0" fontId="7" fillId="2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14" fontId="8" fillId="3" borderId="3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66" fontId="2" fillId="0" borderId="3" xfId="1" applyNumberFormat="1" applyFont="1" applyBorder="1"/>
    <xf numFmtId="166" fontId="6" fillId="4" borderId="3" xfId="1" applyNumberFormat="1" applyFont="1" applyFill="1" applyBorder="1"/>
    <xf numFmtId="167" fontId="2" fillId="0" borderId="3" xfId="1" applyNumberFormat="1" applyFont="1" applyBorder="1"/>
    <xf numFmtId="164" fontId="2" fillId="0" borderId="3" xfId="1" applyFont="1" applyBorder="1"/>
    <xf numFmtId="0" fontId="2" fillId="0" borderId="3" xfId="0" applyFont="1" applyBorder="1"/>
    <xf numFmtId="164" fontId="6" fillId="4" borderId="3" xfId="1" applyFont="1" applyFill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14" fontId="9" fillId="6" borderId="3" xfId="0" applyNumberFormat="1" applyFont="1" applyFill="1" applyBorder="1" applyAlignment="1">
      <alignment horizontal="center"/>
    </xf>
    <xf numFmtId="14" fontId="2" fillId="0" borderId="3" xfId="1" applyNumberFormat="1" applyFont="1" applyBorder="1"/>
    <xf numFmtId="0" fontId="4" fillId="5" borderId="3" xfId="0" applyFont="1" applyFill="1" applyBorder="1" applyAlignment="1">
      <alignment horizontal="center"/>
    </xf>
  </cellXfs>
  <cellStyles count="3">
    <cellStyle name="Comma 2" xfId="1" xr:uid="{AE28DDBE-0ED2-4EBF-B0D6-19142D3AF152}"/>
    <cellStyle name="Normal" xfId="0" builtinId="0"/>
    <cellStyle name="Normal 2 2" xfId="2" xr:uid="{B8FBA74D-38E6-41D3-877A-6D9361F0C0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8945" cy="429723"/>
    <xdr:pic>
      <xdr:nvPicPr>
        <xdr:cNvPr id="2" name="Picture 1" descr="Inicio">
          <a:extLst>
            <a:ext uri="{FF2B5EF4-FFF2-40B4-BE49-F238E27FC236}">
              <a16:creationId xmlns:a16="http://schemas.microsoft.com/office/drawing/2014/main" id="{72B0B173-1EAF-4F12-B37C-6E40CE19DD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05"/>
        <a:stretch/>
      </xdr:blipFill>
      <xdr:spPr bwMode="auto">
        <a:xfrm>
          <a:off x="0" y="0"/>
          <a:ext cx="1908945" cy="429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ople.ey.com/personal/moises_a_pimentel_ve_ey_com/Documents/FC%20-%20Yolo%202025.xlsx" TargetMode="External"/><Relationship Id="rId1" Type="http://schemas.openxmlformats.org/officeDocument/2006/relationships/externalLinkPath" Target="https://people.ey.com/personal/moises_a_pimentel_ve_ey_com/Documents/FC%20-%20Yol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dos"/>
      <sheetName val="Saldos bancarios"/>
      <sheetName val="MP&amp;ME"/>
      <sheetName val="Lanzamientos"/>
      <sheetName val="Financiamiento"/>
      <sheetName val="Ventas"/>
      <sheetName val="Proyección Jul-Dic 25"/>
      <sheetName val="Proyección V10"/>
      <sheetName val="Premisas"/>
      <sheetName val="Proyección Jul-Dic 25 Esc."/>
      <sheetName val="Pivot consolidado"/>
      <sheetName val="Flujo de caja Acum. 25"/>
      <sheetName val="Pivot visualización"/>
      <sheetName val="FC consolidado"/>
      <sheetName val="Op. mesa"/>
      <sheetName val="Base de datos"/>
      <sheetName val="Entre cta"/>
      <sheetName val="Por pagar ME MP"/>
      <sheetName val="Pivot con Split"/>
      <sheetName val="2.1 Data Préstamos"/>
      <sheetName val="Pagos en Bs-USD"/>
      <sheetName val="Opciones de financiamiento"/>
      <sheetName val="Pivot para TCS"/>
      <sheetName val="Base datos prov"/>
      <sheetName val="Sheet1"/>
      <sheetName val="TC 2025"/>
      <sheetName val="Proyección Jul-Dic 25 (2)"/>
      <sheetName val="Listado Prov-Client"/>
      <sheetName val="Prov recurrentes"/>
      <sheetName val="Bonificaciones directivos"/>
      <sheetName val="DS_INTERNAL_DOCUMENT_STORAGE"/>
      <sheetName val="DS_INTERNAL_SETTINGS_STORAGE"/>
      <sheetName val="DS_INTERNAL_DOCGROUP_STORAGE"/>
      <sheetName val="DS_INTERNAL_SNIP_STOR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D8E4-B491-480A-9AEC-A4AFACDB91EF}">
  <sheetPr>
    <tabColor theme="1"/>
  </sheetPr>
  <dimension ref="A4:E391"/>
  <sheetViews>
    <sheetView showGridLines="0" tabSelected="1" zoomScale="80" workbookViewId="0">
      <pane ySplit="8" topLeftCell="A311" activePane="bottomLeft" state="frozen"/>
      <selection activeCell="S4" sqref="S4"/>
      <selection pane="bottomLeft" activeCell="D329" sqref="D329"/>
    </sheetView>
  </sheetViews>
  <sheetFormatPr defaultColWidth="8.81640625" defaultRowHeight="13" x14ac:dyDescent="0.3"/>
  <cols>
    <col min="1" max="1" width="9.453125" style="1" bestFit="1" customWidth="1"/>
    <col min="2" max="2" width="15.453125" style="1" bestFit="1" customWidth="1"/>
    <col min="3" max="3" width="12.453125" style="2" bestFit="1" customWidth="1"/>
    <col min="4" max="4" width="10.54296875" style="1" customWidth="1"/>
    <col min="5" max="5" width="13.1796875" style="1" bestFit="1" customWidth="1"/>
    <col min="6" max="16384" width="8.81640625" style="1"/>
  </cols>
  <sheetData>
    <row r="4" spans="1:5" x14ac:dyDescent="0.3">
      <c r="A4" s="3" t="s">
        <v>0</v>
      </c>
    </row>
    <row r="5" spans="1:5" x14ac:dyDescent="0.3">
      <c r="A5" s="4" t="s">
        <v>1</v>
      </c>
    </row>
    <row r="6" spans="1:5" x14ac:dyDescent="0.3">
      <c r="D6" s="5" t="s">
        <v>2</v>
      </c>
      <c r="E6" s="6"/>
    </row>
    <row r="7" spans="1:5" x14ac:dyDescent="0.3">
      <c r="C7" s="7"/>
      <c r="D7" s="8" t="s">
        <v>3</v>
      </c>
      <c r="E7" s="8"/>
    </row>
    <row r="8" spans="1:5" x14ac:dyDescent="0.3">
      <c r="A8" s="9" t="s">
        <v>4</v>
      </c>
      <c r="B8" s="9" t="s">
        <v>5</v>
      </c>
      <c r="C8" s="10" t="s">
        <v>6</v>
      </c>
      <c r="D8" s="9" t="s">
        <v>7</v>
      </c>
      <c r="E8" s="9" t="s">
        <v>8</v>
      </c>
    </row>
    <row r="9" spans="1:5" x14ac:dyDescent="0.3">
      <c r="A9" s="11">
        <f t="shared" ref="A9:A72" si="0">+MONTH(C9)</f>
        <v>1</v>
      </c>
      <c r="B9" s="11">
        <f t="shared" ref="B9:B72" si="1">+WEEKNUM(C9,2)</f>
        <v>1</v>
      </c>
      <c r="C9" s="12">
        <v>45658</v>
      </c>
      <c r="D9" s="13">
        <v>51.897032250000002</v>
      </c>
      <c r="E9" s="14">
        <v>52.027099999999997</v>
      </c>
    </row>
    <row r="10" spans="1:5" x14ac:dyDescent="0.3">
      <c r="A10" s="11">
        <f t="shared" si="0"/>
        <v>1</v>
      </c>
      <c r="B10" s="11">
        <f t="shared" si="1"/>
        <v>1</v>
      </c>
      <c r="C10" s="12">
        <v>45659</v>
      </c>
      <c r="D10" s="13">
        <v>52.440869249999999</v>
      </c>
      <c r="E10" s="14">
        <v>52.572299999999998</v>
      </c>
    </row>
    <row r="11" spans="1:5" x14ac:dyDescent="0.3">
      <c r="A11" s="11">
        <f t="shared" si="0"/>
        <v>1</v>
      </c>
      <c r="B11" s="11">
        <f t="shared" si="1"/>
        <v>1</v>
      </c>
      <c r="C11" s="12">
        <v>45660</v>
      </c>
      <c r="D11" s="13">
        <v>52.879469999999998</v>
      </c>
      <c r="E11" s="14">
        <v>53.012</v>
      </c>
    </row>
    <row r="12" spans="1:5" x14ac:dyDescent="0.3">
      <c r="A12" s="11">
        <f t="shared" si="0"/>
        <v>1</v>
      </c>
      <c r="B12" s="11">
        <f t="shared" si="1"/>
        <v>1</v>
      </c>
      <c r="C12" s="12">
        <v>45661</v>
      </c>
      <c r="D12" s="13">
        <v>52.879469999999998</v>
      </c>
      <c r="E12" s="14">
        <v>53.012</v>
      </c>
    </row>
    <row r="13" spans="1:5" x14ac:dyDescent="0.3">
      <c r="A13" s="11">
        <f t="shared" si="0"/>
        <v>1</v>
      </c>
      <c r="B13" s="11">
        <f t="shared" si="1"/>
        <v>1</v>
      </c>
      <c r="C13" s="12">
        <v>45662</v>
      </c>
      <c r="D13" s="13">
        <v>52.879469999999998</v>
      </c>
      <c r="E13" s="14">
        <v>53.012</v>
      </c>
    </row>
    <row r="14" spans="1:5" x14ac:dyDescent="0.3">
      <c r="A14" s="11">
        <f t="shared" si="0"/>
        <v>1</v>
      </c>
      <c r="B14" s="11">
        <f t="shared" si="1"/>
        <v>2</v>
      </c>
      <c r="C14" s="12">
        <v>45663</v>
      </c>
      <c r="D14" s="13">
        <v>52.879469999999998</v>
      </c>
      <c r="E14" s="14">
        <v>53.012</v>
      </c>
    </row>
    <row r="15" spans="1:5" x14ac:dyDescent="0.3">
      <c r="A15" s="11">
        <f t="shared" si="0"/>
        <v>1</v>
      </c>
      <c r="B15" s="11">
        <f t="shared" si="1"/>
        <v>2</v>
      </c>
      <c r="C15" s="12">
        <v>45664</v>
      </c>
      <c r="D15" s="13">
        <v>52.937724000000003</v>
      </c>
      <c r="E15" s="14">
        <v>53.070399999999999</v>
      </c>
    </row>
    <row r="16" spans="1:5" x14ac:dyDescent="0.3">
      <c r="A16" s="11">
        <f t="shared" si="0"/>
        <v>1</v>
      </c>
      <c r="B16" s="11">
        <f t="shared" si="1"/>
        <v>2</v>
      </c>
      <c r="C16" s="12">
        <v>45665</v>
      </c>
      <c r="D16" s="13">
        <v>53.149493249999999</v>
      </c>
      <c r="E16" s="14">
        <v>53.282699999999998</v>
      </c>
    </row>
    <row r="17" spans="1:5" x14ac:dyDescent="0.3">
      <c r="A17" s="11">
        <f t="shared" si="0"/>
        <v>1</v>
      </c>
      <c r="B17" s="11">
        <f t="shared" si="1"/>
        <v>2</v>
      </c>
      <c r="C17" s="12">
        <v>45666</v>
      </c>
      <c r="D17" s="13">
        <v>53.717569500000003</v>
      </c>
      <c r="E17" s="14">
        <v>53.852200000000003</v>
      </c>
    </row>
    <row r="18" spans="1:5" x14ac:dyDescent="0.3">
      <c r="A18" s="11">
        <f t="shared" si="0"/>
        <v>1</v>
      </c>
      <c r="B18" s="11">
        <f t="shared" si="1"/>
        <v>2</v>
      </c>
      <c r="C18" s="12">
        <v>45667</v>
      </c>
      <c r="D18" s="13">
        <v>53.74440225</v>
      </c>
      <c r="E18" s="14">
        <v>53.879100000000001</v>
      </c>
    </row>
    <row r="19" spans="1:5" x14ac:dyDescent="0.3">
      <c r="A19" s="11">
        <f t="shared" si="0"/>
        <v>1</v>
      </c>
      <c r="B19" s="11">
        <f t="shared" si="1"/>
        <v>2</v>
      </c>
      <c r="C19" s="12">
        <v>45668</v>
      </c>
      <c r="D19" s="13">
        <v>53.74440225</v>
      </c>
      <c r="E19" s="14">
        <v>53.879100000000001</v>
      </c>
    </row>
    <row r="20" spans="1:5" x14ac:dyDescent="0.3">
      <c r="A20" s="11">
        <f t="shared" si="0"/>
        <v>1</v>
      </c>
      <c r="B20" s="11">
        <f t="shared" si="1"/>
        <v>2</v>
      </c>
      <c r="C20" s="12">
        <v>45669</v>
      </c>
      <c r="D20" s="13">
        <v>53.74440225</v>
      </c>
      <c r="E20" s="14">
        <v>53.879100000000001</v>
      </c>
    </row>
    <row r="21" spans="1:5" x14ac:dyDescent="0.3">
      <c r="A21" s="11">
        <f t="shared" si="0"/>
        <v>1</v>
      </c>
      <c r="B21" s="11">
        <f t="shared" si="1"/>
        <v>3</v>
      </c>
      <c r="C21" s="12">
        <v>45670</v>
      </c>
      <c r="D21" s="13">
        <v>53.74440225</v>
      </c>
      <c r="E21" s="14">
        <v>53.879100000000001</v>
      </c>
    </row>
    <row r="22" spans="1:5" x14ac:dyDescent="0.3">
      <c r="A22" s="11">
        <f t="shared" si="0"/>
        <v>1</v>
      </c>
      <c r="B22" s="11">
        <f t="shared" si="1"/>
        <v>3</v>
      </c>
      <c r="C22" s="12">
        <v>45671</v>
      </c>
      <c r="D22" s="13">
        <v>53.829289500000002</v>
      </c>
      <c r="E22" s="14">
        <v>53.964199999999998</v>
      </c>
    </row>
    <row r="23" spans="1:5" x14ac:dyDescent="0.3">
      <c r="A23" s="11">
        <f t="shared" si="0"/>
        <v>1</v>
      </c>
      <c r="B23" s="11">
        <f t="shared" si="1"/>
        <v>3</v>
      </c>
      <c r="C23" s="12">
        <v>45672</v>
      </c>
      <c r="D23" s="13">
        <v>54.233476500000002</v>
      </c>
      <c r="E23" s="14">
        <v>54.369399999999999</v>
      </c>
    </row>
    <row r="24" spans="1:5" x14ac:dyDescent="0.3">
      <c r="A24" s="11">
        <f t="shared" si="0"/>
        <v>1</v>
      </c>
      <c r="B24" s="11">
        <f t="shared" si="1"/>
        <v>3</v>
      </c>
      <c r="C24" s="12">
        <v>45673</v>
      </c>
      <c r="D24" s="13">
        <v>54.623100000000001</v>
      </c>
      <c r="E24" s="14">
        <v>54.76</v>
      </c>
    </row>
    <row r="25" spans="1:5" x14ac:dyDescent="0.3">
      <c r="A25" s="11">
        <f t="shared" si="0"/>
        <v>1</v>
      </c>
      <c r="B25" s="11">
        <f t="shared" si="1"/>
        <v>3</v>
      </c>
      <c r="C25" s="12">
        <v>45674</v>
      </c>
      <c r="D25" s="13">
        <v>54.774021750000003</v>
      </c>
      <c r="E25" s="14">
        <v>54.911299999999997</v>
      </c>
    </row>
    <row r="26" spans="1:5" x14ac:dyDescent="0.3">
      <c r="A26" s="11">
        <f t="shared" si="0"/>
        <v>1</v>
      </c>
      <c r="B26" s="11">
        <f t="shared" si="1"/>
        <v>3</v>
      </c>
      <c r="C26" s="12">
        <v>45675</v>
      </c>
      <c r="D26" s="13">
        <v>54.774021750000003</v>
      </c>
      <c r="E26" s="14">
        <v>54.911299999999997</v>
      </c>
    </row>
    <row r="27" spans="1:5" x14ac:dyDescent="0.3">
      <c r="A27" s="11">
        <f t="shared" si="0"/>
        <v>1</v>
      </c>
      <c r="B27" s="11">
        <f t="shared" si="1"/>
        <v>3</v>
      </c>
      <c r="C27" s="12">
        <v>45676</v>
      </c>
      <c r="D27" s="13">
        <v>54.774021750000003</v>
      </c>
      <c r="E27" s="14">
        <v>54.911299999999997</v>
      </c>
    </row>
    <row r="28" spans="1:5" x14ac:dyDescent="0.3">
      <c r="A28" s="11">
        <f t="shared" si="0"/>
        <v>1</v>
      </c>
      <c r="B28" s="11">
        <f t="shared" si="1"/>
        <v>4</v>
      </c>
      <c r="C28" s="12">
        <v>45677</v>
      </c>
      <c r="D28" s="13">
        <v>54.847737000000002</v>
      </c>
      <c r="E28" s="14">
        <v>54.985199999999999</v>
      </c>
    </row>
    <row r="29" spans="1:5" x14ac:dyDescent="0.3">
      <c r="A29" s="11">
        <f t="shared" si="0"/>
        <v>1</v>
      </c>
      <c r="B29" s="11">
        <f t="shared" si="1"/>
        <v>4</v>
      </c>
      <c r="C29" s="12">
        <v>45678</v>
      </c>
      <c r="D29" s="13">
        <v>55.161650250000001</v>
      </c>
      <c r="E29" s="14">
        <v>55.299900000000001</v>
      </c>
    </row>
    <row r="30" spans="1:5" x14ac:dyDescent="0.3">
      <c r="A30" s="11">
        <f t="shared" si="0"/>
        <v>1</v>
      </c>
      <c r="B30" s="11">
        <f t="shared" si="1"/>
        <v>4</v>
      </c>
      <c r="C30" s="12">
        <v>45679</v>
      </c>
      <c r="D30" s="13">
        <v>55.621697249999997</v>
      </c>
      <c r="E30" s="14">
        <v>55.761099999999999</v>
      </c>
    </row>
    <row r="31" spans="1:5" x14ac:dyDescent="0.3">
      <c r="A31" s="11">
        <f t="shared" si="0"/>
        <v>1</v>
      </c>
      <c r="B31" s="11">
        <f t="shared" si="1"/>
        <v>4</v>
      </c>
      <c r="C31" s="12">
        <v>45680</v>
      </c>
      <c r="D31" s="13">
        <v>56.142292500000003</v>
      </c>
      <c r="E31" s="14">
        <v>56.283000000000001</v>
      </c>
    </row>
    <row r="32" spans="1:5" x14ac:dyDescent="0.3">
      <c r="A32" s="11">
        <f t="shared" si="0"/>
        <v>1</v>
      </c>
      <c r="B32" s="11">
        <f t="shared" si="1"/>
        <v>4</v>
      </c>
      <c r="C32" s="12">
        <v>45681</v>
      </c>
      <c r="D32" s="13">
        <v>56.510569500000003</v>
      </c>
      <c r="E32" s="14">
        <v>56.652200000000001</v>
      </c>
    </row>
    <row r="33" spans="1:5" x14ac:dyDescent="0.3">
      <c r="A33" s="11">
        <f t="shared" si="0"/>
        <v>1</v>
      </c>
      <c r="B33" s="11">
        <f t="shared" si="1"/>
        <v>4</v>
      </c>
      <c r="C33" s="12">
        <v>45682</v>
      </c>
      <c r="D33" s="13">
        <v>56.510569500000003</v>
      </c>
      <c r="E33" s="14">
        <v>56.652200000000001</v>
      </c>
    </row>
    <row r="34" spans="1:5" x14ac:dyDescent="0.3">
      <c r="A34" s="11">
        <f t="shared" si="0"/>
        <v>1</v>
      </c>
      <c r="B34" s="11">
        <f t="shared" si="1"/>
        <v>4</v>
      </c>
      <c r="C34" s="12">
        <v>45683</v>
      </c>
      <c r="D34" s="13">
        <v>56.510569500000003</v>
      </c>
      <c r="E34" s="14">
        <v>56.652200000000001</v>
      </c>
    </row>
    <row r="35" spans="1:5" x14ac:dyDescent="0.3">
      <c r="A35" s="11">
        <f t="shared" si="0"/>
        <v>1</v>
      </c>
      <c r="B35" s="11">
        <f t="shared" si="1"/>
        <v>5</v>
      </c>
      <c r="C35" s="12">
        <v>45684</v>
      </c>
      <c r="D35" s="13">
        <v>56.714059499999998</v>
      </c>
      <c r="E35" s="14">
        <v>56.856200000000001</v>
      </c>
    </row>
    <row r="36" spans="1:5" x14ac:dyDescent="0.3">
      <c r="A36" s="11">
        <f t="shared" si="0"/>
        <v>1</v>
      </c>
      <c r="B36" s="11">
        <f t="shared" si="1"/>
        <v>5</v>
      </c>
      <c r="C36" s="12">
        <v>45685</v>
      </c>
      <c r="D36" s="13">
        <v>57.154156499999999</v>
      </c>
      <c r="E36" s="14">
        <v>57.297400000000003</v>
      </c>
    </row>
    <row r="37" spans="1:5" x14ac:dyDescent="0.3">
      <c r="A37" s="11">
        <f t="shared" si="0"/>
        <v>1</v>
      </c>
      <c r="B37" s="11">
        <f t="shared" si="1"/>
        <v>5</v>
      </c>
      <c r="C37" s="12">
        <v>45686</v>
      </c>
      <c r="D37" s="13">
        <v>57.249417749999999</v>
      </c>
      <c r="E37" s="14">
        <v>57.392899999999997</v>
      </c>
    </row>
    <row r="38" spans="1:5" x14ac:dyDescent="0.3">
      <c r="A38" s="11">
        <f t="shared" si="0"/>
        <v>1</v>
      </c>
      <c r="B38" s="11">
        <f t="shared" si="1"/>
        <v>5</v>
      </c>
      <c r="C38" s="12">
        <v>45687</v>
      </c>
      <c r="D38" s="13">
        <v>57.821683499999999</v>
      </c>
      <c r="E38" s="14">
        <v>57.9666</v>
      </c>
    </row>
    <row r="39" spans="1:5" x14ac:dyDescent="0.3">
      <c r="A39" s="11">
        <f t="shared" si="0"/>
        <v>1</v>
      </c>
      <c r="B39" s="11">
        <f t="shared" si="1"/>
        <v>5</v>
      </c>
      <c r="C39" s="12">
        <v>45688</v>
      </c>
      <c r="D39" s="13">
        <v>58.297590749999998</v>
      </c>
      <c r="E39" s="14">
        <v>58.4437</v>
      </c>
    </row>
    <row r="40" spans="1:5" x14ac:dyDescent="0.3">
      <c r="A40" s="11">
        <f t="shared" si="0"/>
        <v>2</v>
      </c>
      <c r="B40" s="11">
        <f t="shared" si="1"/>
        <v>5</v>
      </c>
      <c r="C40" s="12">
        <v>45689</v>
      </c>
      <c r="D40" s="13">
        <v>58.297590749999998</v>
      </c>
      <c r="E40" s="14">
        <v>58.4437</v>
      </c>
    </row>
    <row r="41" spans="1:5" x14ac:dyDescent="0.3">
      <c r="A41" s="11">
        <f t="shared" si="0"/>
        <v>2</v>
      </c>
      <c r="B41" s="11">
        <f t="shared" si="1"/>
        <v>5</v>
      </c>
      <c r="C41" s="12">
        <v>45690</v>
      </c>
      <c r="D41" s="13">
        <v>58.297590749999998</v>
      </c>
      <c r="E41" s="14">
        <v>58.4437</v>
      </c>
    </row>
    <row r="42" spans="1:5" x14ac:dyDescent="0.3">
      <c r="A42" s="11">
        <f t="shared" si="0"/>
        <v>2</v>
      </c>
      <c r="B42" s="11">
        <f t="shared" si="1"/>
        <v>6</v>
      </c>
      <c r="C42" s="12">
        <v>45691</v>
      </c>
      <c r="D42" s="13">
        <v>58.394049000000003</v>
      </c>
      <c r="E42" s="14">
        <v>58.540399999999998</v>
      </c>
    </row>
    <row r="43" spans="1:5" x14ac:dyDescent="0.3">
      <c r="A43" s="11">
        <f t="shared" si="0"/>
        <v>2</v>
      </c>
      <c r="B43" s="11">
        <f t="shared" si="1"/>
        <v>6</v>
      </c>
      <c r="C43" s="12">
        <v>45692</v>
      </c>
      <c r="D43" s="13">
        <v>58.646815500000002</v>
      </c>
      <c r="E43" s="14">
        <v>58.793799999999997</v>
      </c>
    </row>
    <row r="44" spans="1:5" x14ac:dyDescent="0.3">
      <c r="A44" s="11">
        <f t="shared" si="0"/>
        <v>2</v>
      </c>
      <c r="B44" s="11">
        <f t="shared" si="1"/>
        <v>6</v>
      </c>
      <c r="C44" s="12">
        <v>45693</v>
      </c>
      <c r="D44" s="13">
        <v>59.311848750000003</v>
      </c>
      <c r="E44" s="14">
        <v>59.460500000000003</v>
      </c>
    </row>
    <row r="45" spans="1:5" x14ac:dyDescent="0.3">
      <c r="A45" s="11">
        <f t="shared" si="0"/>
        <v>2</v>
      </c>
      <c r="B45" s="11">
        <f t="shared" si="1"/>
        <v>6</v>
      </c>
      <c r="C45" s="12">
        <v>45694</v>
      </c>
      <c r="D45" s="13">
        <v>59.991345750000001</v>
      </c>
      <c r="E45" s="14">
        <v>60.1417</v>
      </c>
    </row>
    <row r="46" spans="1:5" x14ac:dyDescent="0.3">
      <c r="A46" s="11">
        <f t="shared" si="0"/>
        <v>2</v>
      </c>
      <c r="B46" s="11">
        <f t="shared" si="1"/>
        <v>6</v>
      </c>
      <c r="C46" s="12">
        <v>45695</v>
      </c>
      <c r="D46" s="13">
        <v>60.369797249999998</v>
      </c>
      <c r="E46" s="14">
        <v>60.521099999999997</v>
      </c>
    </row>
    <row r="47" spans="1:5" x14ac:dyDescent="0.3">
      <c r="A47" s="11">
        <f t="shared" si="0"/>
        <v>2</v>
      </c>
      <c r="B47" s="11">
        <f t="shared" si="1"/>
        <v>6</v>
      </c>
      <c r="C47" s="12">
        <v>45696</v>
      </c>
      <c r="D47" s="13">
        <v>60.369797249999998</v>
      </c>
      <c r="E47" s="14">
        <v>60.521099999999997</v>
      </c>
    </row>
    <row r="48" spans="1:5" x14ac:dyDescent="0.3">
      <c r="A48" s="11">
        <f t="shared" si="0"/>
        <v>2</v>
      </c>
      <c r="B48" s="11">
        <f t="shared" si="1"/>
        <v>6</v>
      </c>
      <c r="C48" s="12">
        <v>45697</v>
      </c>
      <c r="D48" s="13">
        <v>60.369797249999998</v>
      </c>
      <c r="E48" s="14">
        <v>60.521099999999997</v>
      </c>
    </row>
    <row r="49" spans="1:5" x14ac:dyDescent="0.3">
      <c r="A49" s="11">
        <f t="shared" si="0"/>
        <v>2</v>
      </c>
      <c r="B49" s="11">
        <f t="shared" si="1"/>
        <v>7</v>
      </c>
      <c r="C49" s="12">
        <v>45698</v>
      </c>
      <c r="D49" s="13">
        <v>60.391443000000002</v>
      </c>
      <c r="E49" s="14">
        <v>60.5428</v>
      </c>
    </row>
    <row r="50" spans="1:5" x14ac:dyDescent="0.3">
      <c r="A50" s="11">
        <f t="shared" si="0"/>
        <v>2</v>
      </c>
      <c r="B50" s="11">
        <f t="shared" si="1"/>
        <v>7</v>
      </c>
      <c r="C50" s="12">
        <v>45699</v>
      </c>
      <c r="D50" s="13">
        <v>60.875230500000001</v>
      </c>
      <c r="E50" s="14">
        <v>61.027799999999999</v>
      </c>
    </row>
    <row r="51" spans="1:5" x14ac:dyDescent="0.3">
      <c r="A51" s="11">
        <f t="shared" si="0"/>
        <v>2</v>
      </c>
      <c r="B51" s="11">
        <f t="shared" si="1"/>
        <v>7</v>
      </c>
      <c r="C51" s="12">
        <v>45700</v>
      </c>
      <c r="D51" s="13">
        <v>61.192834499999996</v>
      </c>
      <c r="E51" s="14">
        <v>61.346200000000003</v>
      </c>
    </row>
    <row r="52" spans="1:5" x14ac:dyDescent="0.3">
      <c r="A52" s="11">
        <f t="shared" si="0"/>
        <v>2</v>
      </c>
      <c r="B52" s="11">
        <f t="shared" si="1"/>
        <v>7</v>
      </c>
      <c r="C52" s="12">
        <v>45701</v>
      </c>
      <c r="D52" s="13">
        <v>61.66814325</v>
      </c>
      <c r="E52" s="14">
        <v>61.822699999999998</v>
      </c>
    </row>
    <row r="53" spans="1:5" x14ac:dyDescent="0.3">
      <c r="A53" s="11">
        <f t="shared" si="0"/>
        <v>2</v>
      </c>
      <c r="B53" s="11">
        <f t="shared" si="1"/>
        <v>7</v>
      </c>
      <c r="C53" s="12">
        <v>45702</v>
      </c>
      <c r="D53" s="13">
        <v>61.915622999999997</v>
      </c>
      <c r="E53" s="14">
        <v>62.070799999999998</v>
      </c>
    </row>
    <row r="54" spans="1:5" x14ac:dyDescent="0.3">
      <c r="A54" s="11">
        <f t="shared" si="0"/>
        <v>2</v>
      </c>
      <c r="B54" s="11">
        <f t="shared" si="1"/>
        <v>7</v>
      </c>
      <c r="C54" s="12">
        <v>45703</v>
      </c>
      <c r="D54" s="13">
        <v>61.915622999999997</v>
      </c>
      <c r="E54" s="14">
        <v>62.070799999999998</v>
      </c>
    </row>
    <row r="55" spans="1:5" x14ac:dyDescent="0.3">
      <c r="A55" s="11">
        <f t="shared" si="0"/>
        <v>2</v>
      </c>
      <c r="B55" s="11">
        <f t="shared" si="1"/>
        <v>7</v>
      </c>
      <c r="C55" s="12">
        <v>45704</v>
      </c>
      <c r="D55" s="13">
        <v>61.915622999999997</v>
      </c>
      <c r="E55" s="14">
        <v>62.070799999999998</v>
      </c>
    </row>
    <row r="56" spans="1:5" x14ac:dyDescent="0.3">
      <c r="A56" s="11">
        <f t="shared" si="0"/>
        <v>2</v>
      </c>
      <c r="B56" s="11">
        <f t="shared" si="1"/>
        <v>8</v>
      </c>
      <c r="C56" s="12">
        <v>45705</v>
      </c>
      <c r="D56" s="13">
        <v>61.944650250000002</v>
      </c>
      <c r="E56" s="14">
        <v>62.099899999999998</v>
      </c>
    </row>
    <row r="57" spans="1:5" x14ac:dyDescent="0.3">
      <c r="A57" s="11">
        <f t="shared" si="0"/>
        <v>2</v>
      </c>
      <c r="B57" s="11">
        <f t="shared" si="1"/>
        <v>8</v>
      </c>
      <c r="C57" s="12">
        <v>45706</v>
      </c>
      <c r="D57" s="13">
        <v>62.027941499999997</v>
      </c>
      <c r="E57" s="14">
        <v>62.183399999999999</v>
      </c>
    </row>
    <row r="58" spans="1:5" x14ac:dyDescent="0.3">
      <c r="A58" s="11">
        <f t="shared" si="0"/>
        <v>2</v>
      </c>
      <c r="B58" s="11">
        <f t="shared" si="1"/>
        <v>8</v>
      </c>
      <c r="C58" s="12">
        <v>45707</v>
      </c>
      <c r="D58" s="13">
        <v>62.354423250000004</v>
      </c>
      <c r="E58" s="14">
        <v>62.5107</v>
      </c>
    </row>
    <row r="59" spans="1:5" x14ac:dyDescent="0.3">
      <c r="A59" s="11">
        <f t="shared" si="0"/>
        <v>2</v>
      </c>
      <c r="B59" s="11">
        <f t="shared" si="1"/>
        <v>8</v>
      </c>
      <c r="C59" s="12">
        <v>45708</v>
      </c>
      <c r="D59" s="13">
        <v>63.048483750000003</v>
      </c>
      <c r="E59" s="14">
        <v>63.206499999999998</v>
      </c>
    </row>
    <row r="60" spans="1:5" x14ac:dyDescent="0.3">
      <c r="A60" s="11">
        <f t="shared" si="0"/>
        <v>2</v>
      </c>
      <c r="B60" s="11">
        <f t="shared" si="1"/>
        <v>8</v>
      </c>
      <c r="C60" s="12">
        <v>45709</v>
      </c>
      <c r="D60" s="13">
        <v>63.255365249999997</v>
      </c>
      <c r="E60" s="14">
        <v>63.413899999999998</v>
      </c>
    </row>
    <row r="61" spans="1:5" x14ac:dyDescent="0.3">
      <c r="A61" s="11">
        <f t="shared" si="0"/>
        <v>2</v>
      </c>
      <c r="B61" s="11">
        <f t="shared" si="1"/>
        <v>8</v>
      </c>
      <c r="C61" s="12">
        <v>45710</v>
      </c>
      <c r="D61" s="13">
        <v>63.255365249999997</v>
      </c>
      <c r="E61" s="14">
        <v>63.413899999999998</v>
      </c>
    </row>
    <row r="62" spans="1:5" x14ac:dyDescent="0.3">
      <c r="A62" s="11">
        <f t="shared" si="0"/>
        <v>2</v>
      </c>
      <c r="B62" s="11">
        <f t="shared" si="1"/>
        <v>8</v>
      </c>
      <c r="C62" s="12">
        <v>45711</v>
      </c>
      <c r="D62" s="13">
        <v>63.255365249999997</v>
      </c>
      <c r="E62" s="14">
        <v>63.413899999999998</v>
      </c>
    </row>
    <row r="63" spans="1:5" x14ac:dyDescent="0.3">
      <c r="A63" s="11">
        <f t="shared" si="0"/>
        <v>2</v>
      </c>
      <c r="B63" s="11">
        <f t="shared" si="1"/>
        <v>9</v>
      </c>
      <c r="C63" s="12">
        <v>45712</v>
      </c>
      <c r="D63" s="13">
        <v>63.335065499999999</v>
      </c>
      <c r="E63" s="14">
        <v>63.4938</v>
      </c>
    </row>
    <row r="64" spans="1:5" x14ac:dyDescent="0.3">
      <c r="A64" s="11">
        <f t="shared" si="0"/>
        <v>2</v>
      </c>
      <c r="B64" s="11">
        <f t="shared" si="1"/>
        <v>9</v>
      </c>
      <c r="C64" s="12">
        <v>45713</v>
      </c>
      <c r="D64" s="13">
        <v>63.859052249999998</v>
      </c>
      <c r="E64" s="14">
        <v>64.019099999999995</v>
      </c>
    </row>
    <row r="65" spans="1:5" x14ac:dyDescent="0.3">
      <c r="A65" s="11">
        <f t="shared" si="0"/>
        <v>2</v>
      </c>
      <c r="B65" s="11">
        <f t="shared" si="1"/>
        <v>9</v>
      </c>
      <c r="C65" s="12">
        <v>45714</v>
      </c>
      <c r="D65" s="13">
        <v>64.079998500000002</v>
      </c>
      <c r="E65" s="14">
        <v>64.240600000000001</v>
      </c>
    </row>
    <row r="66" spans="1:5" x14ac:dyDescent="0.3">
      <c r="A66" s="11">
        <f t="shared" si="0"/>
        <v>2</v>
      </c>
      <c r="B66" s="11">
        <f t="shared" si="1"/>
        <v>9</v>
      </c>
      <c r="C66" s="12">
        <v>45715</v>
      </c>
      <c r="D66" s="13">
        <v>64.085784000000004</v>
      </c>
      <c r="E66" s="14">
        <v>64.246399999999994</v>
      </c>
    </row>
    <row r="67" spans="1:5" x14ac:dyDescent="0.3">
      <c r="A67" s="11">
        <f t="shared" si="0"/>
        <v>2</v>
      </c>
      <c r="B67" s="11">
        <f t="shared" si="1"/>
        <v>9</v>
      </c>
      <c r="C67" s="12">
        <v>45716</v>
      </c>
      <c r="D67" s="13">
        <v>64.323188999999999</v>
      </c>
      <c r="E67" s="14">
        <v>64.484399999999994</v>
      </c>
    </row>
    <row r="68" spans="1:5" x14ac:dyDescent="0.3">
      <c r="A68" s="11">
        <f t="shared" si="0"/>
        <v>3</v>
      </c>
      <c r="B68" s="11">
        <f t="shared" si="1"/>
        <v>9</v>
      </c>
      <c r="C68" s="12">
        <v>45717</v>
      </c>
      <c r="D68" s="13">
        <v>64.323188999999999</v>
      </c>
      <c r="E68" s="14">
        <v>64.484399999999994</v>
      </c>
    </row>
    <row r="69" spans="1:5" x14ac:dyDescent="0.3">
      <c r="A69" s="11">
        <f t="shared" si="0"/>
        <v>3</v>
      </c>
      <c r="B69" s="11">
        <f t="shared" si="1"/>
        <v>9</v>
      </c>
      <c r="C69" s="12">
        <v>45718</v>
      </c>
      <c r="D69" s="13">
        <v>64.323188999999999</v>
      </c>
      <c r="E69" s="14">
        <v>64.484399999999994</v>
      </c>
    </row>
    <row r="70" spans="1:5" x14ac:dyDescent="0.3">
      <c r="A70" s="11">
        <f t="shared" si="0"/>
        <v>3</v>
      </c>
      <c r="B70" s="11">
        <f t="shared" si="1"/>
        <v>10</v>
      </c>
      <c r="C70" s="12">
        <v>45719</v>
      </c>
      <c r="D70" s="13">
        <v>64.323188999999999</v>
      </c>
      <c r="E70" s="14">
        <v>64.484399999999994</v>
      </c>
    </row>
    <row r="71" spans="1:5" x14ac:dyDescent="0.3">
      <c r="A71" s="11">
        <f t="shared" si="0"/>
        <v>3</v>
      </c>
      <c r="B71" s="11">
        <f t="shared" si="1"/>
        <v>10</v>
      </c>
      <c r="C71" s="12">
        <v>45720</v>
      </c>
      <c r="D71" s="13">
        <v>64.323188999999999</v>
      </c>
      <c r="E71" s="14">
        <v>64.484399999999994</v>
      </c>
    </row>
    <row r="72" spans="1:5" x14ac:dyDescent="0.3">
      <c r="A72" s="11">
        <f t="shared" si="0"/>
        <v>3</v>
      </c>
      <c r="B72" s="11">
        <f t="shared" si="1"/>
        <v>10</v>
      </c>
      <c r="C72" s="12">
        <v>45721</v>
      </c>
      <c r="D72" s="13">
        <v>64.450070999999994</v>
      </c>
      <c r="E72" s="14">
        <v>64.611599999999996</v>
      </c>
    </row>
    <row r="73" spans="1:5" x14ac:dyDescent="0.3">
      <c r="A73" s="11">
        <f t="shared" ref="A73:A136" si="2">+MONTH(C73)</f>
        <v>3</v>
      </c>
      <c r="B73" s="11">
        <f t="shared" ref="B73:B136" si="3">+WEEKNUM(C73,2)</f>
        <v>10</v>
      </c>
      <c r="C73" s="12">
        <v>45722</v>
      </c>
      <c r="D73" s="13">
        <v>64.584135000000003</v>
      </c>
      <c r="E73" s="14">
        <v>64.745999999999995</v>
      </c>
    </row>
    <row r="74" spans="1:5" x14ac:dyDescent="0.3">
      <c r="A74" s="11">
        <f t="shared" si="2"/>
        <v>3</v>
      </c>
      <c r="B74" s="11">
        <f t="shared" si="3"/>
        <v>10</v>
      </c>
      <c r="C74" s="12">
        <v>45723</v>
      </c>
      <c r="D74" s="13">
        <v>65.103034500000007</v>
      </c>
      <c r="E74" s="14">
        <v>65.266199999999998</v>
      </c>
    </row>
    <row r="75" spans="1:5" x14ac:dyDescent="0.3">
      <c r="A75" s="11">
        <f t="shared" si="2"/>
        <v>3</v>
      </c>
      <c r="B75" s="11">
        <f t="shared" si="3"/>
        <v>10</v>
      </c>
      <c r="C75" s="12">
        <v>45724</v>
      </c>
      <c r="D75" s="13">
        <v>65.103034500000007</v>
      </c>
      <c r="E75" s="14">
        <v>65.266199999999998</v>
      </c>
    </row>
    <row r="76" spans="1:5" x14ac:dyDescent="0.3">
      <c r="A76" s="11">
        <f t="shared" si="2"/>
        <v>3</v>
      </c>
      <c r="B76" s="11">
        <f t="shared" si="3"/>
        <v>10</v>
      </c>
      <c r="C76" s="12">
        <v>45725</v>
      </c>
      <c r="D76" s="13">
        <v>65.103034500000007</v>
      </c>
      <c r="E76" s="14">
        <v>65.266199999999998</v>
      </c>
    </row>
    <row r="77" spans="1:5" x14ac:dyDescent="0.3">
      <c r="A77" s="11">
        <f t="shared" si="2"/>
        <v>3</v>
      </c>
      <c r="B77" s="11">
        <f t="shared" si="3"/>
        <v>11</v>
      </c>
      <c r="C77" s="12">
        <v>45726</v>
      </c>
      <c r="D77" s="13">
        <v>65.251562250000006</v>
      </c>
      <c r="E77" s="14">
        <v>65.415099999999995</v>
      </c>
    </row>
    <row r="78" spans="1:5" x14ac:dyDescent="0.3">
      <c r="A78" s="11">
        <f t="shared" si="2"/>
        <v>3</v>
      </c>
      <c r="B78" s="11">
        <f t="shared" si="3"/>
        <v>11</v>
      </c>
      <c r="C78" s="12">
        <v>45727</v>
      </c>
      <c r="D78" s="13">
        <v>65.462733</v>
      </c>
      <c r="E78" s="14">
        <v>65.626800000000003</v>
      </c>
    </row>
    <row r="79" spans="1:5" x14ac:dyDescent="0.3">
      <c r="A79" s="11">
        <f t="shared" si="2"/>
        <v>3</v>
      </c>
      <c r="B79" s="11">
        <f t="shared" si="3"/>
        <v>11</v>
      </c>
      <c r="C79" s="12">
        <v>45728</v>
      </c>
      <c r="D79" s="13">
        <v>66.088564500000004</v>
      </c>
      <c r="E79" s="14">
        <v>66.254199999999997</v>
      </c>
    </row>
    <row r="80" spans="1:5" x14ac:dyDescent="0.3">
      <c r="A80" s="11">
        <f t="shared" si="2"/>
        <v>3</v>
      </c>
      <c r="B80" s="11">
        <f t="shared" si="3"/>
        <v>11</v>
      </c>
      <c r="C80" s="12">
        <v>45729</v>
      </c>
      <c r="D80" s="13">
        <v>66.270707999999999</v>
      </c>
      <c r="E80" s="14">
        <v>66.436800000000005</v>
      </c>
    </row>
    <row r="81" spans="1:5" x14ac:dyDescent="0.3">
      <c r="A81" s="11">
        <f t="shared" si="2"/>
        <v>3</v>
      </c>
      <c r="B81" s="11">
        <f t="shared" si="3"/>
        <v>11</v>
      </c>
      <c r="C81" s="12">
        <v>45730</v>
      </c>
      <c r="D81" s="13">
        <v>66.390906749999999</v>
      </c>
      <c r="E81" s="14">
        <v>66.557299999999998</v>
      </c>
    </row>
    <row r="82" spans="1:5" x14ac:dyDescent="0.3">
      <c r="A82" s="11">
        <f t="shared" si="2"/>
        <v>3</v>
      </c>
      <c r="B82" s="11">
        <f t="shared" si="3"/>
        <v>11</v>
      </c>
      <c r="C82" s="12">
        <v>45731</v>
      </c>
      <c r="D82" s="13">
        <v>66.390906749999999</v>
      </c>
      <c r="E82" s="14">
        <v>66.557299999999998</v>
      </c>
    </row>
    <row r="83" spans="1:5" x14ac:dyDescent="0.3">
      <c r="A83" s="11">
        <f t="shared" si="2"/>
        <v>3</v>
      </c>
      <c r="B83" s="11">
        <f t="shared" si="3"/>
        <v>11</v>
      </c>
      <c r="C83" s="12">
        <v>45732</v>
      </c>
      <c r="D83" s="13">
        <v>66.390906749999999</v>
      </c>
      <c r="E83" s="14">
        <v>66.557299999999998</v>
      </c>
    </row>
    <row r="84" spans="1:5" x14ac:dyDescent="0.3">
      <c r="A84" s="11">
        <f t="shared" si="2"/>
        <v>3</v>
      </c>
      <c r="B84" s="11">
        <f t="shared" si="3"/>
        <v>12</v>
      </c>
      <c r="C84" s="12">
        <v>45733</v>
      </c>
      <c r="D84" s="13">
        <v>66.621030000000005</v>
      </c>
      <c r="E84" s="14">
        <v>66.787999999999997</v>
      </c>
    </row>
    <row r="85" spans="1:5" x14ac:dyDescent="0.3">
      <c r="A85" s="11">
        <f t="shared" si="2"/>
        <v>3</v>
      </c>
      <c r="B85" s="11">
        <f t="shared" si="3"/>
        <v>12</v>
      </c>
      <c r="C85" s="12">
        <v>45734</v>
      </c>
      <c r="D85" s="13">
        <v>67.465314000000006</v>
      </c>
      <c r="E85" s="14">
        <v>67.634399999999999</v>
      </c>
    </row>
    <row r="86" spans="1:5" x14ac:dyDescent="0.3">
      <c r="A86" s="11">
        <f t="shared" si="2"/>
        <v>3</v>
      </c>
      <c r="B86" s="11">
        <f t="shared" si="3"/>
        <v>12</v>
      </c>
      <c r="C86" s="12">
        <v>45735</v>
      </c>
      <c r="D86" s="13">
        <v>67.465314000000006</v>
      </c>
      <c r="E86" s="14">
        <v>67.634399999999999</v>
      </c>
    </row>
    <row r="87" spans="1:5" x14ac:dyDescent="0.3">
      <c r="A87" s="11">
        <f t="shared" si="2"/>
        <v>3</v>
      </c>
      <c r="B87" s="11">
        <f t="shared" si="3"/>
        <v>12</v>
      </c>
      <c r="C87" s="12">
        <v>45736</v>
      </c>
      <c r="D87" s="13">
        <v>67.688654249999999</v>
      </c>
      <c r="E87" s="14">
        <v>67.8583</v>
      </c>
    </row>
    <row r="88" spans="1:5" x14ac:dyDescent="0.3">
      <c r="A88" s="11">
        <f t="shared" si="2"/>
        <v>3</v>
      </c>
      <c r="B88" s="11">
        <f t="shared" si="3"/>
        <v>12</v>
      </c>
      <c r="C88" s="12">
        <v>45737</v>
      </c>
      <c r="D88" s="13">
        <v>68.140821000000003</v>
      </c>
      <c r="E88" s="14">
        <v>68.311599999999999</v>
      </c>
    </row>
    <row r="89" spans="1:5" x14ac:dyDescent="0.3">
      <c r="A89" s="11">
        <f t="shared" si="2"/>
        <v>3</v>
      </c>
      <c r="B89" s="11">
        <f t="shared" si="3"/>
        <v>12</v>
      </c>
      <c r="C89" s="12">
        <v>45738</v>
      </c>
      <c r="D89" s="13">
        <v>68.140821000000003</v>
      </c>
      <c r="E89" s="14">
        <v>68.311599999999999</v>
      </c>
    </row>
    <row r="90" spans="1:5" x14ac:dyDescent="0.3">
      <c r="A90" s="11">
        <f t="shared" si="2"/>
        <v>3</v>
      </c>
      <c r="B90" s="11">
        <f t="shared" si="3"/>
        <v>12</v>
      </c>
      <c r="C90" s="12">
        <v>45739</v>
      </c>
      <c r="D90" s="13">
        <v>68.140821000000003</v>
      </c>
      <c r="E90" s="14">
        <v>68.311599999999999</v>
      </c>
    </row>
    <row r="91" spans="1:5" x14ac:dyDescent="0.3">
      <c r="A91" s="11">
        <f t="shared" si="2"/>
        <v>3</v>
      </c>
      <c r="B91" s="11">
        <f t="shared" si="3"/>
        <v>13</v>
      </c>
      <c r="C91" s="12">
        <v>45740</v>
      </c>
      <c r="D91" s="13">
        <v>68.222616000000002</v>
      </c>
      <c r="E91" s="14">
        <v>68.393600000000006</v>
      </c>
    </row>
    <row r="92" spans="1:5" x14ac:dyDescent="0.3">
      <c r="A92" s="11">
        <f t="shared" si="2"/>
        <v>3</v>
      </c>
      <c r="B92" s="11">
        <f t="shared" si="3"/>
        <v>13</v>
      </c>
      <c r="C92" s="12">
        <v>45741</v>
      </c>
      <c r="D92" s="13">
        <v>68.527651500000005</v>
      </c>
      <c r="E92" s="14">
        <v>68.699399999999997</v>
      </c>
    </row>
    <row r="93" spans="1:5" x14ac:dyDescent="0.3">
      <c r="A93" s="11">
        <f t="shared" si="2"/>
        <v>3</v>
      </c>
      <c r="B93" s="11">
        <f t="shared" si="3"/>
        <v>13</v>
      </c>
      <c r="C93" s="12">
        <v>45742</v>
      </c>
      <c r="D93" s="13">
        <v>68.846253000000004</v>
      </c>
      <c r="E93" s="14">
        <v>69.018799999999999</v>
      </c>
    </row>
    <row r="94" spans="1:5" x14ac:dyDescent="0.3">
      <c r="A94" s="11">
        <f t="shared" si="2"/>
        <v>3</v>
      </c>
      <c r="B94" s="11">
        <f t="shared" si="3"/>
        <v>13</v>
      </c>
      <c r="C94" s="12">
        <v>45743</v>
      </c>
      <c r="D94" s="13">
        <v>69.265103249999996</v>
      </c>
      <c r="E94" s="14">
        <v>69.438699999999997</v>
      </c>
    </row>
    <row r="95" spans="1:5" x14ac:dyDescent="0.3">
      <c r="A95" s="11">
        <f t="shared" si="2"/>
        <v>3</v>
      </c>
      <c r="B95" s="11">
        <f t="shared" si="3"/>
        <v>13</v>
      </c>
      <c r="C95" s="12">
        <v>45744</v>
      </c>
      <c r="D95" s="13">
        <v>69.392483999999996</v>
      </c>
      <c r="E95" s="14">
        <v>69.566400000000002</v>
      </c>
    </row>
    <row r="96" spans="1:5" x14ac:dyDescent="0.3">
      <c r="A96" s="11">
        <f t="shared" si="2"/>
        <v>3</v>
      </c>
      <c r="B96" s="11">
        <f t="shared" si="3"/>
        <v>13</v>
      </c>
      <c r="C96" s="12">
        <v>45745</v>
      </c>
      <c r="D96" s="13">
        <v>69.392483999999996</v>
      </c>
      <c r="E96" s="14">
        <v>69.566400000000002</v>
      </c>
    </row>
    <row r="97" spans="1:5" x14ac:dyDescent="0.3">
      <c r="A97" s="11">
        <f t="shared" si="2"/>
        <v>3</v>
      </c>
      <c r="B97" s="11">
        <f t="shared" si="3"/>
        <v>13</v>
      </c>
      <c r="C97" s="12">
        <v>45746</v>
      </c>
      <c r="D97" s="13">
        <v>69.392483999999996</v>
      </c>
      <c r="E97" s="14">
        <v>69.566400000000002</v>
      </c>
    </row>
    <row r="98" spans="1:5" x14ac:dyDescent="0.3">
      <c r="A98" s="11">
        <f t="shared" si="2"/>
        <v>3</v>
      </c>
      <c r="B98" s="11">
        <f t="shared" si="3"/>
        <v>14</v>
      </c>
      <c r="C98" s="12">
        <v>45747</v>
      </c>
      <c r="D98" s="13">
        <v>69.601560000000006</v>
      </c>
      <c r="E98" s="14">
        <v>69.775999999999996</v>
      </c>
    </row>
    <row r="99" spans="1:5" x14ac:dyDescent="0.3">
      <c r="A99" s="11">
        <f t="shared" si="2"/>
        <v>4</v>
      </c>
      <c r="B99" s="11">
        <f t="shared" si="3"/>
        <v>14</v>
      </c>
      <c r="C99" s="12">
        <v>45748</v>
      </c>
      <c r="D99" s="13">
        <v>69.839064750000006</v>
      </c>
      <c r="E99" s="14">
        <v>70.014099999999999</v>
      </c>
    </row>
    <row r="100" spans="1:5" x14ac:dyDescent="0.3">
      <c r="A100" s="11">
        <f t="shared" si="2"/>
        <v>4</v>
      </c>
      <c r="B100" s="11">
        <f t="shared" si="3"/>
        <v>14</v>
      </c>
      <c r="C100" s="12">
        <v>45749</v>
      </c>
      <c r="D100" s="13">
        <v>70.073676750000004</v>
      </c>
      <c r="E100" s="14">
        <v>70.249300000000005</v>
      </c>
    </row>
    <row r="101" spans="1:5" x14ac:dyDescent="0.3">
      <c r="A101" s="11">
        <f t="shared" si="2"/>
        <v>4</v>
      </c>
      <c r="B101" s="11">
        <f t="shared" si="3"/>
        <v>14</v>
      </c>
      <c r="C101" s="12">
        <v>45750</v>
      </c>
      <c r="D101" s="13">
        <v>70.408737000000002</v>
      </c>
      <c r="E101" s="14">
        <v>70.5852</v>
      </c>
    </row>
    <row r="102" spans="1:5" x14ac:dyDescent="0.3">
      <c r="A102" s="11">
        <f t="shared" si="2"/>
        <v>4</v>
      </c>
      <c r="B102" s="11">
        <f t="shared" si="3"/>
        <v>14</v>
      </c>
      <c r="C102" s="12">
        <v>45751</v>
      </c>
      <c r="D102" s="13">
        <v>72.005135999999993</v>
      </c>
      <c r="E102" s="14">
        <v>72.185599999999994</v>
      </c>
    </row>
    <row r="103" spans="1:5" x14ac:dyDescent="0.3">
      <c r="A103" s="11">
        <f t="shared" si="2"/>
        <v>4</v>
      </c>
      <c r="B103" s="11">
        <f t="shared" si="3"/>
        <v>14</v>
      </c>
      <c r="C103" s="12">
        <v>45752</v>
      </c>
      <c r="D103" s="13">
        <v>72.005135999999993</v>
      </c>
      <c r="E103" s="14">
        <v>72.185599999999994</v>
      </c>
    </row>
    <row r="104" spans="1:5" x14ac:dyDescent="0.3">
      <c r="A104" s="11">
        <f t="shared" si="2"/>
        <v>4</v>
      </c>
      <c r="B104" s="11">
        <f t="shared" si="3"/>
        <v>14</v>
      </c>
      <c r="C104" s="12">
        <v>45753</v>
      </c>
      <c r="D104" s="13">
        <v>72.005135999999993</v>
      </c>
      <c r="E104" s="14">
        <v>72.185599999999994</v>
      </c>
    </row>
    <row r="105" spans="1:5" x14ac:dyDescent="0.3">
      <c r="A105" s="11">
        <f t="shared" si="2"/>
        <v>4</v>
      </c>
      <c r="B105" s="11">
        <f t="shared" si="3"/>
        <v>15</v>
      </c>
      <c r="C105" s="12">
        <v>45754</v>
      </c>
      <c r="D105" s="13">
        <v>73.174205999999998</v>
      </c>
      <c r="E105" s="14">
        <v>73.357600000000005</v>
      </c>
    </row>
    <row r="106" spans="1:5" x14ac:dyDescent="0.3">
      <c r="A106" s="11">
        <f t="shared" si="2"/>
        <v>4</v>
      </c>
      <c r="B106" s="11">
        <f t="shared" si="3"/>
        <v>15</v>
      </c>
      <c r="C106" s="12">
        <v>45755</v>
      </c>
      <c r="D106" s="13">
        <v>74.093003249999995</v>
      </c>
      <c r="E106" s="14">
        <v>74.278700000000001</v>
      </c>
    </row>
    <row r="107" spans="1:5" x14ac:dyDescent="0.3">
      <c r="A107" s="11">
        <f t="shared" si="2"/>
        <v>4</v>
      </c>
      <c r="B107" s="11">
        <f t="shared" si="3"/>
        <v>15</v>
      </c>
      <c r="C107" s="12">
        <v>45756</v>
      </c>
      <c r="D107" s="13">
        <v>75.612993750000001</v>
      </c>
      <c r="E107" s="14">
        <v>75.802499999999995</v>
      </c>
    </row>
    <row r="108" spans="1:5" x14ac:dyDescent="0.3">
      <c r="A108" s="11">
        <f t="shared" si="2"/>
        <v>4</v>
      </c>
      <c r="B108" s="11">
        <f t="shared" si="3"/>
        <v>15</v>
      </c>
      <c r="C108" s="12">
        <v>45757</v>
      </c>
      <c r="D108" s="13">
        <v>77.071438499999999</v>
      </c>
      <c r="E108" s="14">
        <v>77.264600000000002</v>
      </c>
    </row>
    <row r="109" spans="1:5" x14ac:dyDescent="0.3">
      <c r="A109" s="11">
        <f t="shared" si="2"/>
        <v>4</v>
      </c>
      <c r="B109" s="11">
        <f t="shared" si="3"/>
        <v>15</v>
      </c>
      <c r="C109" s="12">
        <v>45758</v>
      </c>
      <c r="D109" s="13">
        <v>78.167591250000001</v>
      </c>
      <c r="E109" s="14">
        <v>78.363500000000002</v>
      </c>
    </row>
    <row r="110" spans="1:5" x14ac:dyDescent="0.3">
      <c r="A110" s="11">
        <f t="shared" si="2"/>
        <v>4</v>
      </c>
      <c r="B110" s="11">
        <f t="shared" si="3"/>
        <v>15</v>
      </c>
      <c r="C110" s="12">
        <v>45759</v>
      </c>
      <c r="D110" s="13">
        <v>78.167591250000001</v>
      </c>
      <c r="E110" s="14">
        <v>78.363500000000002</v>
      </c>
    </row>
    <row r="111" spans="1:5" x14ac:dyDescent="0.3">
      <c r="A111" s="11">
        <f t="shared" si="2"/>
        <v>4</v>
      </c>
      <c r="B111" s="11">
        <f t="shared" si="3"/>
        <v>15</v>
      </c>
      <c r="C111" s="12">
        <v>45760</v>
      </c>
      <c r="D111" s="13">
        <v>78.167591250000001</v>
      </c>
      <c r="E111" s="14">
        <v>78.363500000000002</v>
      </c>
    </row>
    <row r="112" spans="1:5" x14ac:dyDescent="0.3">
      <c r="A112" s="11">
        <f t="shared" si="2"/>
        <v>4</v>
      </c>
      <c r="B112" s="11">
        <f t="shared" si="3"/>
        <v>16</v>
      </c>
      <c r="C112" s="12">
        <v>45761</v>
      </c>
      <c r="D112" s="13">
        <v>78.394921499999995</v>
      </c>
      <c r="E112" s="14">
        <v>78.591399999999993</v>
      </c>
    </row>
    <row r="113" spans="1:5" x14ac:dyDescent="0.3">
      <c r="A113" s="11">
        <f t="shared" si="2"/>
        <v>4</v>
      </c>
      <c r="B113" s="11">
        <f t="shared" si="3"/>
        <v>16</v>
      </c>
      <c r="C113" s="12">
        <v>45762</v>
      </c>
      <c r="D113" s="13">
        <v>79.584939000000006</v>
      </c>
      <c r="E113" s="14">
        <v>79.784400000000005</v>
      </c>
    </row>
    <row r="114" spans="1:5" x14ac:dyDescent="0.3">
      <c r="A114" s="11">
        <f t="shared" si="2"/>
        <v>4</v>
      </c>
      <c r="B114" s="11">
        <f t="shared" si="3"/>
        <v>16</v>
      </c>
      <c r="C114" s="12">
        <v>45763</v>
      </c>
      <c r="D114" s="13">
        <v>80.757400500000003</v>
      </c>
      <c r="E114" s="14">
        <v>80.959800000000001</v>
      </c>
    </row>
    <row r="115" spans="1:5" x14ac:dyDescent="0.3">
      <c r="A115" s="11">
        <f t="shared" si="2"/>
        <v>4</v>
      </c>
      <c r="B115" s="11">
        <f t="shared" si="3"/>
        <v>16</v>
      </c>
      <c r="C115" s="12">
        <v>45764</v>
      </c>
      <c r="D115" s="13">
        <v>80.757400500000003</v>
      </c>
      <c r="E115" s="14">
        <v>80.959800000000001</v>
      </c>
    </row>
    <row r="116" spans="1:5" x14ac:dyDescent="0.3">
      <c r="A116" s="11">
        <f t="shared" si="2"/>
        <v>4</v>
      </c>
      <c r="B116" s="11">
        <f t="shared" si="3"/>
        <v>16</v>
      </c>
      <c r="C116" s="12">
        <v>45765</v>
      </c>
      <c r="D116" s="13">
        <v>80.757400500000003</v>
      </c>
      <c r="E116" s="14">
        <v>80.959800000000001</v>
      </c>
    </row>
    <row r="117" spans="1:5" x14ac:dyDescent="0.3">
      <c r="A117" s="11">
        <f t="shared" si="2"/>
        <v>4</v>
      </c>
      <c r="B117" s="11">
        <f t="shared" si="3"/>
        <v>16</v>
      </c>
      <c r="C117" s="12">
        <v>45766</v>
      </c>
      <c r="D117" s="13">
        <v>80.757400500000003</v>
      </c>
      <c r="E117" s="14">
        <v>80.959800000000001</v>
      </c>
    </row>
    <row r="118" spans="1:5" x14ac:dyDescent="0.3">
      <c r="A118" s="11">
        <f t="shared" si="2"/>
        <v>4</v>
      </c>
      <c r="B118" s="11">
        <f t="shared" si="3"/>
        <v>16</v>
      </c>
      <c r="C118" s="12">
        <v>45767</v>
      </c>
      <c r="D118" s="13">
        <v>80.757400500000003</v>
      </c>
      <c r="E118" s="14">
        <v>80.959800000000001</v>
      </c>
    </row>
    <row r="119" spans="1:5" x14ac:dyDescent="0.3">
      <c r="A119" s="11">
        <f t="shared" si="2"/>
        <v>4</v>
      </c>
      <c r="B119" s="11">
        <f t="shared" si="3"/>
        <v>17</v>
      </c>
      <c r="C119" s="12">
        <v>45768</v>
      </c>
      <c r="D119" s="13">
        <v>81.556896750000007</v>
      </c>
      <c r="E119" s="14">
        <v>81.761300000000006</v>
      </c>
    </row>
    <row r="120" spans="1:5" x14ac:dyDescent="0.3">
      <c r="A120" s="11">
        <f t="shared" si="2"/>
        <v>4</v>
      </c>
      <c r="B120" s="11">
        <f t="shared" si="3"/>
        <v>17</v>
      </c>
      <c r="C120" s="12">
        <v>45769</v>
      </c>
      <c r="D120" s="13">
        <v>82.172853000000003</v>
      </c>
      <c r="E120" s="14">
        <v>82.378799999999998</v>
      </c>
    </row>
    <row r="121" spans="1:5" x14ac:dyDescent="0.3">
      <c r="A121" s="11">
        <f t="shared" si="2"/>
        <v>4</v>
      </c>
      <c r="B121" s="11">
        <f t="shared" si="3"/>
        <v>17</v>
      </c>
      <c r="C121" s="12">
        <v>45770</v>
      </c>
      <c r="D121" s="13">
        <v>83.209654499999999</v>
      </c>
      <c r="E121" s="14">
        <v>83.418199999999999</v>
      </c>
    </row>
    <row r="122" spans="1:5" x14ac:dyDescent="0.3">
      <c r="A122" s="11">
        <f t="shared" si="2"/>
        <v>4</v>
      </c>
      <c r="B122" s="11">
        <f t="shared" si="3"/>
        <v>17</v>
      </c>
      <c r="C122" s="12">
        <v>45771</v>
      </c>
      <c r="D122" s="13">
        <v>84.209349000000003</v>
      </c>
      <c r="E122" s="14">
        <v>84.420400000000001</v>
      </c>
    </row>
    <row r="123" spans="1:5" x14ac:dyDescent="0.3">
      <c r="A123" s="11">
        <f t="shared" si="2"/>
        <v>4</v>
      </c>
      <c r="B123" s="11">
        <f t="shared" si="3"/>
        <v>17</v>
      </c>
      <c r="C123" s="12">
        <v>45772</v>
      </c>
      <c r="D123" s="13">
        <v>85.899014249999993</v>
      </c>
      <c r="E123" s="14">
        <v>86.1143</v>
      </c>
    </row>
    <row r="124" spans="1:5" x14ac:dyDescent="0.3">
      <c r="A124" s="11">
        <f t="shared" si="2"/>
        <v>4</v>
      </c>
      <c r="B124" s="11">
        <f t="shared" si="3"/>
        <v>17</v>
      </c>
      <c r="C124" s="12">
        <v>45773</v>
      </c>
      <c r="D124" s="13">
        <v>85.899014249999993</v>
      </c>
      <c r="E124" s="14">
        <v>86.1143</v>
      </c>
    </row>
    <row r="125" spans="1:5" x14ac:dyDescent="0.3">
      <c r="A125" s="11">
        <f t="shared" si="2"/>
        <v>4</v>
      </c>
      <c r="B125" s="11">
        <f t="shared" si="3"/>
        <v>17</v>
      </c>
      <c r="C125" s="12">
        <v>45774</v>
      </c>
      <c r="D125" s="13">
        <v>85.899014249999993</v>
      </c>
      <c r="E125" s="14">
        <v>86.1143</v>
      </c>
    </row>
    <row r="126" spans="1:5" x14ac:dyDescent="0.3">
      <c r="A126" s="11">
        <f t="shared" si="2"/>
        <v>4</v>
      </c>
      <c r="B126" s="11">
        <f t="shared" si="3"/>
        <v>18</v>
      </c>
      <c r="C126" s="12">
        <v>45775</v>
      </c>
      <c r="D126" s="13">
        <v>86.439758999999995</v>
      </c>
      <c r="E126" s="14">
        <v>86.656400000000005</v>
      </c>
    </row>
    <row r="127" spans="1:5" x14ac:dyDescent="0.3">
      <c r="A127" s="11">
        <f t="shared" si="2"/>
        <v>4</v>
      </c>
      <c r="B127" s="11">
        <f t="shared" si="3"/>
        <v>18</v>
      </c>
      <c r="C127" s="12">
        <v>45776</v>
      </c>
      <c r="D127" s="13">
        <v>86.629383750000002</v>
      </c>
      <c r="E127" s="14">
        <v>86.846500000000006</v>
      </c>
    </row>
    <row r="128" spans="1:5" x14ac:dyDescent="0.3">
      <c r="A128" s="11">
        <f t="shared" si="2"/>
        <v>4</v>
      </c>
      <c r="B128" s="11">
        <f t="shared" si="3"/>
        <v>18</v>
      </c>
      <c r="C128" s="12">
        <v>45777</v>
      </c>
      <c r="D128" s="13">
        <v>87.349179750000005</v>
      </c>
      <c r="E128" s="14">
        <v>87.568100000000001</v>
      </c>
    </row>
    <row r="129" spans="1:5" x14ac:dyDescent="0.3">
      <c r="A129" s="11">
        <f t="shared" si="2"/>
        <v>5</v>
      </c>
      <c r="B129" s="11">
        <f t="shared" si="3"/>
        <v>18</v>
      </c>
      <c r="C129" s="12">
        <v>45778</v>
      </c>
      <c r="D129" s="13">
        <v>87.349179750000005</v>
      </c>
      <c r="E129" s="14">
        <v>87.568100000000001</v>
      </c>
    </row>
    <row r="130" spans="1:5" x14ac:dyDescent="0.3">
      <c r="A130" s="11">
        <f t="shared" si="2"/>
        <v>5</v>
      </c>
      <c r="B130" s="11">
        <f t="shared" si="3"/>
        <v>18</v>
      </c>
      <c r="C130" s="12">
        <v>45779</v>
      </c>
      <c r="D130" s="13">
        <v>88.418898749999997</v>
      </c>
      <c r="E130" s="14">
        <v>88.640500000000003</v>
      </c>
    </row>
    <row r="131" spans="1:5" x14ac:dyDescent="0.3">
      <c r="A131" s="11">
        <f t="shared" si="2"/>
        <v>5</v>
      </c>
      <c r="B131" s="11">
        <f t="shared" si="3"/>
        <v>18</v>
      </c>
      <c r="C131" s="12">
        <v>45780</v>
      </c>
      <c r="D131" s="13">
        <v>88.418898749999997</v>
      </c>
      <c r="E131" s="14">
        <v>88.640500000000003</v>
      </c>
    </row>
    <row r="132" spans="1:5" x14ac:dyDescent="0.3">
      <c r="A132" s="11">
        <f t="shared" si="2"/>
        <v>5</v>
      </c>
      <c r="B132" s="11">
        <f t="shared" si="3"/>
        <v>18</v>
      </c>
      <c r="C132" s="12">
        <v>45781</v>
      </c>
      <c r="D132" s="13">
        <v>88.418898749999997</v>
      </c>
      <c r="E132" s="14">
        <v>88.640500000000003</v>
      </c>
    </row>
    <row r="133" spans="1:5" x14ac:dyDescent="0.3">
      <c r="A133" s="11">
        <f t="shared" si="2"/>
        <v>5</v>
      </c>
      <c r="B133" s="11">
        <f t="shared" si="3"/>
        <v>19</v>
      </c>
      <c r="C133" s="12">
        <v>45782</v>
      </c>
      <c r="D133" s="13">
        <v>88.500594000000007</v>
      </c>
      <c r="E133" s="14">
        <v>88.722399999999993</v>
      </c>
    </row>
    <row r="134" spans="1:5" x14ac:dyDescent="0.3">
      <c r="A134" s="11">
        <f t="shared" si="2"/>
        <v>5</v>
      </c>
      <c r="B134" s="11">
        <f t="shared" si="3"/>
        <v>19</v>
      </c>
      <c r="C134" s="12">
        <v>45783</v>
      </c>
      <c r="D134" s="13">
        <v>90.98327175</v>
      </c>
      <c r="E134" s="14">
        <v>91.211299999999994</v>
      </c>
    </row>
    <row r="135" spans="1:5" x14ac:dyDescent="0.3">
      <c r="A135" s="11">
        <f t="shared" si="2"/>
        <v>5</v>
      </c>
      <c r="B135" s="11">
        <f t="shared" si="3"/>
        <v>19</v>
      </c>
      <c r="C135" s="12">
        <v>45784</v>
      </c>
      <c r="D135" s="13">
        <v>91.686708749999994</v>
      </c>
      <c r="E135" s="14">
        <v>91.916499999999999</v>
      </c>
    </row>
    <row r="136" spans="1:5" x14ac:dyDescent="0.3">
      <c r="A136" s="11">
        <f t="shared" si="2"/>
        <v>5</v>
      </c>
      <c r="B136" s="11">
        <f t="shared" si="3"/>
        <v>19</v>
      </c>
      <c r="C136" s="12">
        <v>45785</v>
      </c>
      <c r="D136" s="13">
        <v>92.5989225</v>
      </c>
      <c r="E136" s="14">
        <v>92.831000000000003</v>
      </c>
    </row>
    <row r="137" spans="1:5" x14ac:dyDescent="0.3">
      <c r="A137" s="11">
        <f t="shared" ref="A137:A200" si="4">+MONTH(C137)</f>
        <v>5</v>
      </c>
      <c r="B137" s="11">
        <f t="shared" ref="B137:B200" si="5">+WEEKNUM(C137,2)</f>
        <v>19</v>
      </c>
      <c r="C137" s="12">
        <v>45786</v>
      </c>
      <c r="D137" s="13">
        <v>92.816876250000007</v>
      </c>
      <c r="E137" s="14">
        <v>93.049499999999995</v>
      </c>
    </row>
    <row r="138" spans="1:5" x14ac:dyDescent="0.3">
      <c r="A138" s="11">
        <f t="shared" si="4"/>
        <v>5</v>
      </c>
      <c r="B138" s="11">
        <f t="shared" si="5"/>
        <v>19</v>
      </c>
      <c r="C138" s="12">
        <v>45787</v>
      </c>
      <c r="D138" s="13">
        <v>92.816876250000007</v>
      </c>
      <c r="E138" s="14">
        <v>93.049499999999995</v>
      </c>
    </row>
    <row r="139" spans="1:5" x14ac:dyDescent="0.3">
      <c r="A139" s="11">
        <f t="shared" si="4"/>
        <v>5</v>
      </c>
      <c r="B139" s="11">
        <f t="shared" si="5"/>
        <v>19</v>
      </c>
      <c r="C139" s="12">
        <v>45788</v>
      </c>
      <c r="D139" s="13">
        <v>92.816876250000007</v>
      </c>
      <c r="E139" s="14">
        <v>93.049499999999995</v>
      </c>
    </row>
    <row r="140" spans="1:5" x14ac:dyDescent="0.3">
      <c r="A140" s="11">
        <f t="shared" si="4"/>
        <v>5</v>
      </c>
      <c r="B140" s="11">
        <f t="shared" si="5"/>
        <v>20</v>
      </c>
      <c r="C140" s="12">
        <v>45789</v>
      </c>
      <c r="D140" s="13">
        <v>92.829644250000001</v>
      </c>
      <c r="E140" s="14">
        <v>93.062299999999993</v>
      </c>
    </row>
    <row r="141" spans="1:5" x14ac:dyDescent="0.3">
      <c r="A141" s="11">
        <f t="shared" si="4"/>
        <v>5</v>
      </c>
      <c r="B141" s="11">
        <f t="shared" si="5"/>
        <v>20</v>
      </c>
      <c r="C141" s="12">
        <v>45790</v>
      </c>
      <c r="D141" s="13">
        <v>93.345651000000004</v>
      </c>
      <c r="E141" s="14">
        <v>93.579599999999999</v>
      </c>
    </row>
    <row r="142" spans="1:5" x14ac:dyDescent="0.3">
      <c r="A142" s="11">
        <f t="shared" si="4"/>
        <v>5</v>
      </c>
      <c r="B142" s="11">
        <f t="shared" si="5"/>
        <v>20</v>
      </c>
      <c r="C142" s="12">
        <v>45791</v>
      </c>
      <c r="D142" s="13">
        <v>93.920310749999999</v>
      </c>
      <c r="E142" s="14">
        <v>94.155699999999996</v>
      </c>
    </row>
    <row r="143" spans="1:5" x14ac:dyDescent="0.3">
      <c r="A143" s="11">
        <f t="shared" si="4"/>
        <v>5</v>
      </c>
      <c r="B143" s="11">
        <f t="shared" si="5"/>
        <v>20</v>
      </c>
      <c r="C143" s="12">
        <v>45792</v>
      </c>
      <c r="D143" s="13">
        <v>94.088289750000001</v>
      </c>
      <c r="E143" s="14">
        <v>94.324100000000001</v>
      </c>
    </row>
    <row r="144" spans="1:5" x14ac:dyDescent="0.3">
      <c r="A144" s="11">
        <f t="shared" si="4"/>
        <v>5</v>
      </c>
      <c r="B144" s="11">
        <f t="shared" si="5"/>
        <v>20</v>
      </c>
      <c r="C144" s="12">
        <v>45793</v>
      </c>
      <c r="D144" s="13">
        <v>94.526092500000004</v>
      </c>
      <c r="E144" s="14">
        <v>94.763000000000005</v>
      </c>
    </row>
    <row r="145" spans="1:5" x14ac:dyDescent="0.3">
      <c r="A145" s="11">
        <f t="shared" si="4"/>
        <v>5</v>
      </c>
      <c r="B145" s="11">
        <f t="shared" si="5"/>
        <v>20</v>
      </c>
      <c r="C145" s="12">
        <v>45794</v>
      </c>
      <c r="D145" s="13">
        <v>94.526092500000004</v>
      </c>
      <c r="E145" s="14">
        <v>94.763000000000005</v>
      </c>
    </row>
    <row r="146" spans="1:5" x14ac:dyDescent="0.3">
      <c r="A146" s="11">
        <f t="shared" si="4"/>
        <v>5</v>
      </c>
      <c r="B146" s="11">
        <f t="shared" si="5"/>
        <v>20</v>
      </c>
      <c r="C146" s="12">
        <v>45795</v>
      </c>
      <c r="D146" s="13">
        <v>94.526092500000004</v>
      </c>
      <c r="E146" s="14">
        <v>94.763000000000005</v>
      </c>
    </row>
    <row r="147" spans="1:5" x14ac:dyDescent="0.3">
      <c r="A147" s="11">
        <f t="shared" si="4"/>
        <v>5</v>
      </c>
      <c r="B147" s="11">
        <f t="shared" si="5"/>
        <v>21</v>
      </c>
      <c r="C147" s="12">
        <v>45796</v>
      </c>
      <c r="D147" s="13">
        <v>94.565393999999998</v>
      </c>
      <c r="E147" s="14">
        <v>94.802400000000006</v>
      </c>
    </row>
    <row r="148" spans="1:5" x14ac:dyDescent="0.3">
      <c r="A148" s="11">
        <f t="shared" si="4"/>
        <v>5</v>
      </c>
      <c r="B148" s="11">
        <f t="shared" si="5"/>
        <v>21</v>
      </c>
      <c r="C148" s="12">
        <v>45797</v>
      </c>
      <c r="D148" s="13">
        <v>94.618460999999996</v>
      </c>
      <c r="E148" s="14">
        <v>94.855599999999995</v>
      </c>
    </row>
    <row r="149" spans="1:5" x14ac:dyDescent="0.3">
      <c r="A149" s="11">
        <f t="shared" si="4"/>
        <v>5</v>
      </c>
      <c r="B149" s="11">
        <f t="shared" si="5"/>
        <v>21</v>
      </c>
      <c r="C149" s="12">
        <v>45798</v>
      </c>
      <c r="D149" s="13">
        <v>94.727787000000006</v>
      </c>
      <c r="E149" s="14">
        <v>94.965199999999996</v>
      </c>
    </row>
    <row r="150" spans="1:5" x14ac:dyDescent="0.3">
      <c r="A150" s="11">
        <f t="shared" si="4"/>
        <v>5</v>
      </c>
      <c r="B150" s="11">
        <f t="shared" si="5"/>
        <v>21</v>
      </c>
      <c r="C150" s="12">
        <v>45799</v>
      </c>
      <c r="D150" s="13">
        <v>94.781352749999996</v>
      </c>
      <c r="E150" s="14">
        <v>95.018900000000002</v>
      </c>
    </row>
    <row r="151" spans="1:5" x14ac:dyDescent="0.3">
      <c r="A151" s="11">
        <f t="shared" si="4"/>
        <v>5</v>
      </c>
      <c r="B151" s="11">
        <f t="shared" si="5"/>
        <v>21</v>
      </c>
      <c r="C151" s="12">
        <v>45800</v>
      </c>
      <c r="D151" s="13">
        <v>94.846289999999996</v>
      </c>
      <c r="E151" s="14">
        <v>95.084000000000003</v>
      </c>
    </row>
    <row r="152" spans="1:5" x14ac:dyDescent="0.3">
      <c r="A152" s="11">
        <f t="shared" si="4"/>
        <v>5</v>
      </c>
      <c r="B152" s="11">
        <f t="shared" si="5"/>
        <v>21</v>
      </c>
      <c r="C152" s="12">
        <v>45801</v>
      </c>
      <c r="D152" s="13">
        <v>94.846289999999996</v>
      </c>
      <c r="E152" s="14">
        <v>95.084000000000003</v>
      </c>
    </row>
    <row r="153" spans="1:5" x14ac:dyDescent="0.3">
      <c r="A153" s="11">
        <f t="shared" si="4"/>
        <v>5</v>
      </c>
      <c r="B153" s="11">
        <f t="shared" si="5"/>
        <v>21</v>
      </c>
      <c r="C153" s="12">
        <v>45802</v>
      </c>
      <c r="D153" s="13">
        <v>94.846289999999996</v>
      </c>
      <c r="E153" s="14">
        <v>95.084000000000003</v>
      </c>
    </row>
    <row r="154" spans="1:5" x14ac:dyDescent="0.3">
      <c r="A154" s="11">
        <f t="shared" si="4"/>
        <v>5</v>
      </c>
      <c r="B154" s="11">
        <f t="shared" si="5"/>
        <v>22</v>
      </c>
      <c r="C154" s="12">
        <v>45803</v>
      </c>
      <c r="D154" s="13">
        <v>95.000603249999998</v>
      </c>
      <c r="E154" s="14">
        <v>95.238699999999994</v>
      </c>
    </row>
    <row r="155" spans="1:5" x14ac:dyDescent="0.3">
      <c r="A155" s="11">
        <f t="shared" si="4"/>
        <v>5</v>
      </c>
      <c r="B155" s="11">
        <f t="shared" si="5"/>
        <v>22</v>
      </c>
      <c r="C155" s="12">
        <v>45804</v>
      </c>
      <c r="D155" s="13">
        <v>95.565686999999997</v>
      </c>
      <c r="E155" s="14">
        <v>95.805199999999999</v>
      </c>
    </row>
    <row r="156" spans="1:5" x14ac:dyDescent="0.3">
      <c r="A156" s="11">
        <f t="shared" si="4"/>
        <v>5</v>
      </c>
      <c r="B156" s="11">
        <f t="shared" si="5"/>
        <v>22</v>
      </c>
      <c r="C156" s="12">
        <v>45805</v>
      </c>
      <c r="D156" s="13">
        <v>96.288974249999995</v>
      </c>
      <c r="E156" s="14">
        <v>96.530299999999997</v>
      </c>
    </row>
    <row r="157" spans="1:5" x14ac:dyDescent="0.3">
      <c r="A157" s="11">
        <f t="shared" si="4"/>
        <v>5</v>
      </c>
      <c r="B157" s="11">
        <f t="shared" si="5"/>
        <v>22</v>
      </c>
      <c r="C157" s="12">
        <v>45806</v>
      </c>
      <c r="D157" s="13">
        <v>96.615555749999999</v>
      </c>
      <c r="E157" s="14">
        <v>96.857699999999994</v>
      </c>
    </row>
    <row r="158" spans="1:5" x14ac:dyDescent="0.3">
      <c r="A158" s="11">
        <f t="shared" si="4"/>
        <v>5</v>
      </c>
      <c r="B158" s="11">
        <f t="shared" si="5"/>
        <v>22</v>
      </c>
      <c r="C158" s="12">
        <v>45807</v>
      </c>
      <c r="D158" s="13">
        <v>97.069318499999994</v>
      </c>
      <c r="E158" s="14">
        <v>97.312600000000003</v>
      </c>
    </row>
    <row r="159" spans="1:5" x14ac:dyDescent="0.3">
      <c r="A159" s="11">
        <f t="shared" si="4"/>
        <v>5</v>
      </c>
      <c r="B159" s="11">
        <f t="shared" si="5"/>
        <v>22</v>
      </c>
      <c r="C159" s="12">
        <v>45808</v>
      </c>
      <c r="D159" s="13">
        <v>97.069318499999994</v>
      </c>
      <c r="E159" s="14">
        <v>97.312600000000003</v>
      </c>
    </row>
    <row r="160" spans="1:5" x14ac:dyDescent="0.3">
      <c r="A160" s="11">
        <f t="shared" si="4"/>
        <v>6</v>
      </c>
      <c r="B160" s="11">
        <f t="shared" si="5"/>
        <v>22</v>
      </c>
      <c r="C160" s="12">
        <v>45809</v>
      </c>
      <c r="D160" s="13">
        <v>97.069318499999994</v>
      </c>
      <c r="E160" s="14">
        <v>97.312600000000003</v>
      </c>
    </row>
    <row r="161" spans="1:5" x14ac:dyDescent="0.3">
      <c r="A161" s="11">
        <f t="shared" si="4"/>
        <v>6</v>
      </c>
      <c r="B161" s="11">
        <f t="shared" si="5"/>
        <v>23</v>
      </c>
      <c r="C161" s="12">
        <v>45810</v>
      </c>
      <c r="D161" s="13">
        <v>97.069318499999994</v>
      </c>
      <c r="E161" s="14">
        <v>97.312600000000003</v>
      </c>
    </row>
    <row r="162" spans="1:5" x14ac:dyDescent="0.3">
      <c r="A162" s="11">
        <f t="shared" si="4"/>
        <v>6</v>
      </c>
      <c r="B162" s="11">
        <f t="shared" si="5"/>
        <v>23</v>
      </c>
      <c r="C162" s="12">
        <v>45811</v>
      </c>
      <c r="D162" s="13">
        <v>97.175851499999993</v>
      </c>
      <c r="E162" s="14">
        <v>97.419399999999996</v>
      </c>
    </row>
    <row r="163" spans="1:5" x14ac:dyDescent="0.3">
      <c r="A163" s="11">
        <f t="shared" si="4"/>
        <v>6</v>
      </c>
      <c r="B163" s="11">
        <f t="shared" si="5"/>
        <v>23</v>
      </c>
      <c r="C163" s="12">
        <v>45812</v>
      </c>
      <c r="D163" s="13">
        <v>97.658342250000004</v>
      </c>
      <c r="E163" s="14">
        <v>97.903099999999995</v>
      </c>
    </row>
    <row r="164" spans="1:5" x14ac:dyDescent="0.3">
      <c r="A164" s="11">
        <f t="shared" si="4"/>
        <v>6</v>
      </c>
      <c r="B164" s="11">
        <f t="shared" si="5"/>
        <v>23</v>
      </c>
      <c r="C164" s="12">
        <v>45813</v>
      </c>
      <c r="D164" s="13">
        <v>98.266917000000007</v>
      </c>
      <c r="E164" s="14">
        <v>98.513199999999998</v>
      </c>
    </row>
    <row r="165" spans="1:5" x14ac:dyDescent="0.3">
      <c r="A165" s="11">
        <f t="shared" si="4"/>
        <v>6</v>
      </c>
      <c r="B165" s="11">
        <f t="shared" si="5"/>
        <v>23</v>
      </c>
      <c r="C165" s="12">
        <v>45814</v>
      </c>
      <c r="D165" s="13">
        <v>98.843870999999993</v>
      </c>
      <c r="E165" s="14">
        <v>99.0916</v>
      </c>
    </row>
    <row r="166" spans="1:5" x14ac:dyDescent="0.3">
      <c r="A166" s="11">
        <f t="shared" si="4"/>
        <v>6</v>
      </c>
      <c r="B166" s="11">
        <f t="shared" si="5"/>
        <v>23</v>
      </c>
      <c r="C166" s="12">
        <v>45815</v>
      </c>
      <c r="D166" s="13">
        <v>98.843870999999993</v>
      </c>
      <c r="E166" s="14">
        <v>99.0916</v>
      </c>
    </row>
    <row r="167" spans="1:5" x14ac:dyDescent="0.3">
      <c r="A167" s="11">
        <f t="shared" si="4"/>
        <v>6</v>
      </c>
      <c r="B167" s="11">
        <f t="shared" si="5"/>
        <v>23</v>
      </c>
      <c r="C167" s="12">
        <v>45816</v>
      </c>
      <c r="D167" s="13">
        <v>98.843870999999993</v>
      </c>
      <c r="E167" s="14">
        <v>99.0916</v>
      </c>
    </row>
    <row r="168" spans="1:5" x14ac:dyDescent="0.3">
      <c r="A168" s="11">
        <f t="shared" si="4"/>
        <v>6</v>
      </c>
      <c r="B168" s="11">
        <f t="shared" si="5"/>
        <v>24</v>
      </c>
      <c r="C168" s="12">
        <v>45817</v>
      </c>
      <c r="D168" s="13">
        <v>98.876888249999993</v>
      </c>
      <c r="E168" s="14">
        <v>99.124700000000004</v>
      </c>
    </row>
    <row r="169" spans="1:5" x14ac:dyDescent="0.3">
      <c r="A169" s="11">
        <f t="shared" si="4"/>
        <v>6</v>
      </c>
      <c r="B169" s="11">
        <f t="shared" si="5"/>
        <v>24</v>
      </c>
      <c r="C169" s="12">
        <v>45818</v>
      </c>
      <c r="D169" s="13">
        <v>99.449054250000003</v>
      </c>
      <c r="E169" s="14">
        <v>99.698300000000003</v>
      </c>
    </row>
    <row r="170" spans="1:5" x14ac:dyDescent="0.3">
      <c r="A170" s="11">
        <f t="shared" si="4"/>
        <v>6</v>
      </c>
      <c r="B170" s="11">
        <f t="shared" si="5"/>
        <v>24</v>
      </c>
      <c r="C170" s="12">
        <v>45819</v>
      </c>
      <c r="D170" s="13">
        <v>100.088751</v>
      </c>
      <c r="E170" s="14">
        <v>100.3396</v>
      </c>
    </row>
    <row r="171" spans="1:5" x14ac:dyDescent="0.3">
      <c r="A171" s="11">
        <f t="shared" si="4"/>
        <v>6</v>
      </c>
      <c r="B171" s="11">
        <f t="shared" si="5"/>
        <v>24</v>
      </c>
      <c r="C171" s="12">
        <v>45820</v>
      </c>
      <c r="D171" s="16">
        <v>100.8294945</v>
      </c>
      <c r="E171" s="18">
        <v>101.0822</v>
      </c>
    </row>
    <row r="172" spans="1:5" x14ac:dyDescent="0.3">
      <c r="A172" s="11">
        <f t="shared" si="4"/>
        <v>6</v>
      </c>
      <c r="B172" s="11">
        <f t="shared" si="5"/>
        <v>24</v>
      </c>
      <c r="C172" s="12">
        <v>45821</v>
      </c>
      <c r="D172" s="16">
        <v>101.9016075</v>
      </c>
      <c r="E172" s="18">
        <v>102.157</v>
      </c>
    </row>
    <row r="173" spans="1:5" x14ac:dyDescent="0.3">
      <c r="A173" s="11">
        <f t="shared" si="4"/>
        <v>6</v>
      </c>
      <c r="B173" s="11">
        <f t="shared" si="5"/>
        <v>24</v>
      </c>
      <c r="C173" s="12">
        <v>45822</v>
      </c>
      <c r="D173" s="16">
        <v>101.9016075</v>
      </c>
      <c r="E173" s="18">
        <v>102.157</v>
      </c>
    </row>
    <row r="174" spans="1:5" x14ac:dyDescent="0.3">
      <c r="A174" s="11">
        <f t="shared" si="4"/>
        <v>6</v>
      </c>
      <c r="B174" s="11">
        <f t="shared" si="5"/>
        <v>24</v>
      </c>
      <c r="C174" s="12">
        <v>45823</v>
      </c>
      <c r="D174" s="16">
        <v>101.9016075</v>
      </c>
      <c r="E174" s="18">
        <v>102.157</v>
      </c>
    </row>
    <row r="175" spans="1:5" x14ac:dyDescent="0.3">
      <c r="A175" s="11">
        <f t="shared" si="4"/>
        <v>6</v>
      </c>
      <c r="B175" s="11">
        <f t="shared" si="5"/>
        <v>25</v>
      </c>
      <c r="C175" s="12">
        <v>45824</v>
      </c>
      <c r="D175" s="16">
        <v>101.9016075</v>
      </c>
      <c r="E175" s="18">
        <v>102.157</v>
      </c>
    </row>
    <row r="176" spans="1:5" x14ac:dyDescent="0.3">
      <c r="A176" s="11">
        <f t="shared" si="4"/>
        <v>6</v>
      </c>
      <c r="B176" s="11">
        <f t="shared" si="5"/>
        <v>25</v>
      </c>
      <c r="C176" s="12">
        <v>45825</v>
      </c>
      <c r="D176" s="16">
        <v>102.55127924999999</v>
      </c>
      <c r="E176" s="18">
        <v>102.8083</v>
      </c>
    </row>
    <row r="177" spans="1:5" x14ac:dyDescent="0.3">
      <c r="A177" s="11">
        <f t="shared" si="4"/>
        <v>6</v>
      </c>
      <c r="B177" s="11">
        <f t="shared" si="5"/>
        <v>25</v>
      </c>
      <c r="C177" s="12">
        <v>45826</v>
      </c>
      <c r="D177" s="16">
        <v>103.47616125</v>
      </c>
      <c r="E177" s="18">
        <v>103.7355</v>
      </c>
    </row>
    <row r="178" spans="1:5" x14ac:dyDescent="0.3">
      <c r="A178" s="11">
        <f t="shared" si="4"/>
        <v>6</v>
      </c>
      <c r="B178" s="11">
        <f t="shared" si="5"/>
        <v>25</v>
      </c>
      <c r="C178" s="12">
        <v>45827</v>
      </c>
      <c r="D178" s="16">
        <v>104.28204150000001</v>
      </c>
      <c r="E178" s="18">
        <v>104.54340000000001</v>
      </c>
    </row>
    <row r="179" spans="1:5" x14ac:dyDescent="0.3">
      <c r="A179" s="11">
        <f t="shared" si="4"/>
        <v>6</v>
      </c>
      <c r="B179" s="11">
        <f t="shared" si="5"/>
        <v>25</v>
      </c>
      <c r="C179" s="12">
        <v>45828</v>
      </c>
      <c r="D179" s="16">
        <v>105.18906825000001</v>
      </c>
      <c r="E179" s="18">
        <v>105.45269999999999</v>
      </c>
    </row>
    <row r="180" spans="1:5" x14ac:dyDescent="0.3">
      <c r="A180" s="11">
        <f t="shared" si="4"/>
        <v>6</v>
      </c>
      <c r="B180" s="11">
        <f t="shared" si="5"/>
        <v>25</v>
      </c>
      <c r="C180" s="12">
        <v>45829</v>
      </c>
      <c r="D180" s="16">
        <v>104.28</v>
      </c>
      <c r="E180" s="18">
        <v>104.54</v>
      </c>
    </row>
    <row r="181" spans="1:5" x14ac:dyDescent="0.3">
      <c r="A181" s="11">
        <f t="shared" si="4"/>
        <v>6</v>
      </c>
      <c r="B181" s="11">
        <f t="shared" si="5"/>
        <v>25</v>
      </c>
      <c r="C181" s="12">
        <v>45830</v>
      </c>
      <c r="D181" s="16">
        <v>104.28</v>
      </c>
      <c r="E181" s="18">
        <v>104.54</v>
      </c>
    </row>
    <row r="182" spans="1:5" x14ac:dyDescent="0.3">
      <c r="A182" s="11">
        <f t="shared" si="4"/>
        <v>6</v>
      </c>
      <c r="B182" s="11">
        <f t="shared" si="5"/>
        <v>26</v>
      </c>
      <c r="C182" s="12">
        <v>45831</v>
      </c>
      <c r="D182" s="16">
        <v>104.28</v>
      </c>
      <c r="E182" s="18">
        <v>104.54</v>
      </c>
    </row>
    <row r="183" spans="1:5" x14ac:dyDescent="0.3">
      <c r="A183" s="11">
        <f t="shared" si="4"/>
        <v>6</v>
      </c>
      <c r="B183" s="11">
        <f t="shared" si="5"/>
        <v>26</v>
      </c>
      <c r="C183" s="12">
        <v>45832</v>
      </c>
      <c r="D183" s="16">
        <v>104.28</v>
      </c>
      <c r="E183" s="18">
        <v>104.54</v>
      </c>
    </row>
    <row r="184" spans="1:5" x14ac:dyDescent="0.3">
      <c r="A184" s="11">
        <f t="shared" si="4"/>
        <v>6</v>
      </c>
      <c r="B184" s="11">
        <f t="shared" si="5"/>
        <v>26</v>
      </c>
      <c r="C184" s="12">
        <v>45833</v>
      </c>
      <c r="D184" s="16">
        <v>105.18</v>
      </c>
      <c r="E184" s="18">
        <v>105.45</v>
      </c>
    </row>
    <row r="185" spans="1:5" x14ac:dyDescent="0.3">
      <c r="A185" s="11">
        <f t="shared" si="4"/>
        <v>6</v>
      </c>
      <c r="B185" s="11">
        <f t="shared" si="5"/>
        <v>26</v>
      </c>
      <c r="C185" s="12">
        <v>45834</v>
      </c>
      <c r="D185" s="16">
        <v>105.9</v>
      </c>
      <c r="E185" s="18">
        <v>106.16</v>
      </c>
    </row>
    <row r="186" spans="1:5" x14ac:dyDescent="0.3">
      <c r="A186" s="11">
        <f t="shared" si="4"/>
        <v>6</v>
      </c>
      <c r="B186" s="11">
        <f t="shared" si="5"/>
        <v>26</v>
      </c>
      <c r="C186" s="12">
        <v>45835</v>
      </c>
      <c r="D186" s="16">
        <v>106.59</v>
      </c>
      <c r="E186" s="18">
        <v>106.86</v>
      </c>
    </row>
    <row r="187" spans="1:5" x14ac:dyDescent="0.3">
      <c r="A187" s="11">
        <f t="shared" si="4"/>
        <v>6</v>
      </c>
      <c r="B187" s="11">
        <f t="shared" si="5"/>
        <v>26</v>
      </c>
      <c r="C187" s="12">
        <v>45836</v>
      </c>
      <c r="D187" s="16">
        <v>106.59</v>
      </c>
      <c r="E187" s="18">
        <v>106.86</v>
      </c>
    </row>
    <row r="188" spans="1:5" x14ac:dyDescent="0.3">
      <c r="A188" s="11">
        <f t="shared" si="4"/>
        <v>6</v>
      </c>
      <c r="B188" s="11">
        <f t="shared" si="5"/>
        <v>26</v>
      </c>
      <c r="C188" s="12">
        <v>45837</v>
      </c>
      <c r="D188" s="16">
        <v>106.59</v>
      </c>
      <c r="E188" s="18">
        <v>106.86</v>
      </c>
    </row>
    <row r="189" spans="1:5" x14ac:dyDescent="0.3">
      <c r="A189" s="11">
        <f t="shared" si="4"/>
        <v>6</v>
      </c>
      <c r="B189" s="11">
        <f t="shared" si="5"/>
        <v>27</v>
      </c>
      <c r="C189" s="12">
        <v>45838</v>
      </c>
      <c r="D189" s="16">
        <v>107.91</v>
      </c>
      <c r="E189" s="18">
        <v>108.18</v>
      </c>
    </row>
    <row r="190" spans="1:5" x14ac:dyDescent="0.3">
      <c r="A190" s="11">
        <f t="shared" si="4"/>
        <v>7</v>
      </c>
      <c r="B190" s="11">
        <f t="shared" si="5"/>
        <v>27</v>
      </c>
      <c r="C190" s="12">
        <v>45839</v>
      </c>
      <c r="D190" s="16">
        <v>107.91862725</v>
      </c>
      <c r="E190" s="18">
        <v>108.1891</v>
      </c>
    </row>
    <row r="191" spans="1:5" x14ac:dyDescent="0.3">
      <c r="A191" s="11">
        <f t="shared" si="4"/>
        <v>7</v>
      </c>
      <c r="B191" s="11">
        <f t="shared" si="5"/>
        <v>27</v>
      </c>
      <c r="C191" s="12">
        <v>45840</v>
      </c>
      <c r="D191" s="16">
        <v>108.70605375</v>
      </c>
      <c r="E191" s="18">
        <v>108.9785</v>
      </c>
    </row>
    <row r="192" spans="1:5" x14ac:dyDescent="0.3">
      <c r="A192" s="11">
        <f t="shared" si="4"/>
        <v>7</v>
      </c>
      <c r="B192" s="11">
        <f t="shared" si="5"/>
        <v>27</v>
      </c>
      <c r="C192" s="12">
        <v>45841</v>
      </c>
      <c r="D192" s="16">
        <v>109.497969</v>
      </c>
      <c r="E192" s="18">
        <v>109.7724</v>
      </c>
    </row>
    <row r="193" spans="1:5" x14ac:dyDescent="0.3">
      <c r="A193" s="11">
        <f t="shared" si="4"/>
        <v>7</v>
      </c>
      <c r="B193" s="11">
        <f t="shared" si="5"/>
        <v>27</v>
      </c>
      <c r="C193" s="12">
        <v>45842</v>
      </c>
      <c r="D193" s="16">
        <v>110.28050775</v>
      </c>
      <c r="E193" s="18">
        <v>110.5569</v>
      </c>
    </row>
    <row r="194" spans="1:5" x14ac:dyDescent="0.3">
      <c r="A194" s="11">
        <f t="shared" si="4"/>
        <v>7</v>
      </c>
      <c r="B194" s="11">
        <f t="shared" si="5"/>
        <v>27</v>
      </c>
      <c r="C194" s="12">
        <v>45843</v>
      </c>
      <c r="D194" s="16">
        <v>110.28050775</v>
      </c>
      <c r="E194" s="18">
        <v>110.5569</v>
      </c>
    </row>
    <row r="195" spans="1:5" x14ac:dyDescent="0.3">
      <c r="A195" s="11">
        <f t="shared" si="4"/>
        <v>7</v>
      </c>
      <c r="B195" s="11">
        <f t="shared" si="5"/>
        <v>27</v>
      </c>
      <c r="C195" s="12">
        <v>45844</v>
      </c>
      <c r="D195" s="16">
        <v>110.28050775</v>
      </c>
      <c r="E195" s="18">
        <v>110.5569</v>
      </c>
    </row>
    <row r="196" spans="1:5" x14ac:dyDescent="0.3">
      <c r="A196" s="11">
        <f t="shared" si="4"/>
        <v>7</v>
      </c>
      <c r="B196" s="11">
        <f t="shared" si="5"/>
        <v>28</v>
      </c>
      <c r="C196" s="12">
        <v>45845</v>
      </c>
      <c r="D196" s="16">
        <v>111.14005349999999</v>
      </c>
      <c r="E196" s="18">
        <v>111.4186</v>
      </c>
    </row>
    <row r="197" spans="1:5" x14ac:dyDescent="0.3">
      <c r="A197" s="11">
        <f t="shared" si="4"/>
        <v>7</v>
      </c>
      <c r="B197" s="11">
        <f t="shared" si="5"/>
        <v>28</v>
      </c>
      <c r="C197" s="12">
        <v>45846</v>
      </c>
      <c r="D197" s="13">
        <v>111.8474805</v>
      </c>
      <c r="E197" s="14">
        <v>112.12779999999999</v>
      </c>
    </row>
    <row r="198" spans="1:5" x14ac:dyDescent="0.3">
      <c r="A198" s="11">
        <f t="shared" si="4"/>
        <v>7</v>
      </c>
      <c r="B198" s="11">
        <f t="shared" si="5"/>
        <v>28</v>
      </c>
      <c r="C198" s="12">
        <v>45847</v>
      </c>
      <c r="D198" s="13">
        <v>112.54642875</v>
      </c>
      <c r="E198" s="14">
        <v>112.82850000000001</v>
      </c>
    </row>
    <row r="199" spans="1:5" x14ac:dyDescent="0.3">
      <c r="A199" s="11">
        <f t="shared" si="4"/>
        <v>7</v>
      </c>
      <c r="B199" s="11">
        <f t="shared" si="5"/>
        <v>28</v>
      </c>
      <c r="C199" s="12">
        <v>45848</v>
      </c>
      <c r="D199" s="13">
        <v>113.46612374999999</v>
      </c>
      <c r="E199" s="14">
        <v>113.7505</v>
      </c>
    </row>
    <row r="200" spans="1:5" x14ac:dyDescent="0.3">
      <c r="A200" s="11">
        <f t="shared" si="4"/>
        <v>7</v>
      </c>
      <c r="B200" s="11">
        <f t="shared" si="5"/>
        <v>28</v>
      </c>
      <c r="C200" s="12">
        <v>45849</v>
      </c>
      <c r="D200" s="13">
        <v>114.12547125</v>
      </c>
      <c r="E200" s="14">
        <v>114.4115</v>
      </c>
    </row>
    <row r="201" spans="1:5" x14ac:dyDescent="0.3">
      <c r="A201" s="11">
        <f t="shared" ref="A201:A264" si="6">+MONTH(C201)</f>
        <v>7</v>
      </c>
      <c r="B201" s="11">
        <f t="shared" ref="B201:B264" si="7">+WEEKNUM(C201,2)</f>
        <v>28</v>
      </c>
      <c r="C201" s="12">
        <v>45850</v>
      </c>
      <c r="D201" s="13">
        <v>114.12547125</v>
      </c>
      <c r="E201" s="14">
        <v>114.4115</v>
      </c>
    </row>
    <row r="202" spans="1:5" x14ac:dyDescent="0.3">
      <c r="A202" s="11">
        <f t="shared" si="6"/>
        <v>7</v>
      </c>
      <c r="B202" s="11">
        <f t="shared" si="7"/>
        <v>28</v>
      </c>
      <c r="C202" s="12">
        <v>45851</v>
      </c>
      <c r="D202" s="13">
        <v>114.12547125</v>
      </c>
      <c r="E202" s="14">
        <v>114.4115</v>
      </c>
    </row>
    <row r="203" spans="1:5" x14ac:dyDescent="0.3">
      <c r="A203" s="11">
        <f t="shared" si="6"/>
        <v>7</v>
      </c>
      <c r="B203" s="11">
        <f t="shared" si="7"/>
        <v>29</v>
      </c>
      <c r="C203" s="12">
        <v>45852</v>
      </c>
      <c r="D203" s="13">
        <v>115.03958025</v>
      </c>
      <c r="E203" s="14">
        <v>115.3279</v>
      </c>
    </row>
    <row r="204" spans="1:5" x14ac:dyDescent="0.3">
      <c r="A204" s="11">
        <f t="shared" si="6"/>
        <v>7</v>
      </c>
      <c r="B204" s="11">
        <f t="shared" si="7"/>
        <v>29</v>
      </c>
      <c r="C204" s="12">
        <v>45853</v>
      </c>
      <c r="D204" s="13">
        <v>115.55498849999999</v>
      </c>
      <c r="E204" s="14">
        <v>115.8446</v>
      </c>
    </row>
    <row r="205" spans="1:5" x14ac:dyDescent="0.3">
      <c r="A205" s="11">
        <f t="shared" si="6"/>
        <v>7</v>
      </c>
      <c r="B205" s="11">
        <f t="shared" si="7"/>
        <v>29</v>
      </c>
      <c r="C205" s="12">
        <v>45854</v>
      </c>
      <c r="D205" s="13">
        <v>116.52705225</v>
      </c>
      <c r="E205" s="14">
        <v>116.81910000000001</v>
      </c>
    </row>
    <row r="206" spans="1:5" x14ac:dyDescent="0.3">
      <c r="A206" s="11">
        <f t="shared" si="6"/>
        <v>7</v>
      </c>
      <c r="B206" s="11">
        <f t="shared" si="7"/>
        <v>29</v>
      </c>
      <c r="C206" s="12">
        <v>45855</v>
      </c>
      <c r="D206" s="13">
        <v>117.110091</v>
      </c>
      <c r="E206" s="14">
        <v>117.4036</v>
      </c>
    </row>
    <row r="207" spans="1:5" x14ac:dyDescent="0.3">
      <c r="A207" s="11">
        <f t="shared" si="6"/>
        <v>7</v>
      </c>
      <c r="B207" s="11">
        <f t="shared" si="7"/>
        <v>29</v>
      </c>
      <c r="C207" s="12">
        <v>45856</v>
      </c>
      <c r="D207" s="13">
        <v>117.9916815</v>
      </c>
      <c r="E207" s="14">
        <v>118.28740000000001</v>
      </c>
    </row>
    <row r="208" spans="1:5" x14ac:dyDescent="0.3">
      <c r="A208" s="11">
        <f t="shared" si="6"/>
        <v>7</v>
      </c>
      <c r="B208" s="11">
        <f t="shared" si="7"/>
        <v>29</v>
      </c>
      <c r="C208" s="12">
        <v>45857</v>
      </c>
      <c r="D208" s="13">
        <v>117.9916815</v>
      </c>
      <c r="E208" s="14">
        <v>118.28740000000001</v>
      </c>
    </row>
    <row r="209" spans="1:5" x14ac:dyDescent="0.3">
      <c r="A209" s="11">
        <f t="shared" si="6"/>
        <v>7</v>
      </c>
      <c r="B209" s="11">
        <f t="shared" si="7"/>
        <v>29</v>
      </c>
      <c r="C209" s="12">
        <v>45858</v>
      </c>
      <c r="D209" s="13">
        <v>117.9916815</v>
      </c>
      <c r="E209" s="14">
        <v>118.28740000000001</v>
      </c>
    </row>
    <row r="210" spans="1:5" x14ac:dyDescent="0.3">
      <c r="A210" s="11">
        <f t="shared" si="6"/>
        <v>7</v>
      </c>
      <c r="B210" s="11">
        <f t="shared" si="7"/>
        <v>30</v>
      </c>
      <c r="C210" s="12">
        <v>45859</v>
      </c>
      <c r="D210" s="13">
        <v>118.8467385</v>
      </c>
      <c r="E210" s="14">
        <v>119.1446</v>
      </c>
    </row>
    <row r="211" spans="1:5" x14ac:dyDescent="0.3">
      <c r="A211" s="11">
        <f t="shared" si="6"/>
        <v>7</v>
      </c>
      <c r="B211" s="11">
        <f t="shared" si="7"/>
        <v>30</v>
      </c>
      <c r="C211" s="12">
        <v>45860</v>
      </c>
      <c r="D211" s="13">
        <v>119.3670345</v>
      </c>
      <c r="E211" s="14">
        <v>119.6662</v>
      </c>
    </row>
    <row r="212" spans="1:5" x14ac:dyDescent="0.3">
      <c r="A212" s="11">
        <f t="shared" si="6"/>
        <v>7</v>
      </c>
      <c r="B212" s="11">
        <f t="shared" si="7"/>
        <v>30</v>
      </c>
      <c r="C212" s="12">
        <v>45861</v>
      </c>
      <c r="D212" s="13">
        <v>120.12284025</v>
      </c>
      <c r="E212" s="14">
        <v>120.4239</v>
      </c>
    </row>
    <row r="213" spans="1:5" x14ac:dyDescent="0.3">
      <c r="A213" s="11">
        <f t="shared" si="6"/>
        <v>7</v>
      </c>
      <c r="B213" s="11">
        <f t="shared" si="7"/>
        <v>30</v>
      </c>
      <c r="C213" s="12">
        <v>45862</v>
      </c>
      <c r="D213" s="13">
        <v>120.12284025</v>
      </c>
      <c r="E213" s="14">
        <v>120.4239</v>
      </c>
    </row>
    <row r="214" spans="1:5" x14ac:dyDescent="0.3">
      <c r="A214" s="11">
        <f t="shared" si="6"/>
        <v>7</v>
      </c>
      <c r="B214" s="11">
        <f t="shared" si="7"/>
        <v>30</v>
      </c>
      <c r="C214" s="12">
        <v>45863</v>
      </c>
      <c r="D214" s="13">
        <v>121.04353275</v>
      </c>
      <c r="E214" s="14">
        <v>121.34690000000001</v>
      </c>
    </row>
    <row r="215" spans="1:5" x14ac:dyDescent="0.3">
      <c r="A215" s="11">
        <f t="shared" si="6"/>
        <v>7</v>
      </c>
      <c r="B215" s="11">
        <f t="shared" si="7"/>
        <v>30</v>
      </c>
      <c r="C215" s="12">
        <v>45864</v>
      </c>
      <c r="D215" s="13">
        <v>121.04353275</v>
      </c>
      <c r="E215" s="14">
        <v>121.34690000000001</v>
      </c>
    </row>
    <row r="216" spans="1:5" x14ac:dyDescent="0.3">
      <c r="A216" s="11">
        <f t="shared" si="6"/>
        <v>7</v>
      </c>
      <c r="B216" s="11">
        <f t="shared" si="7"/>
        <v>30</v>
      </c>
      <c r="C216" s="12">
        <v>45865</v>
      </c>
      <c r="D216" s="13">
        <v>121.04353275</v>
      </c>
      <c r="E216" s="14">
        <v>121.34690000000001</v>
      </c>
    </row>
    <row r="217" spans="1:5" x14ac:dyDescent="0.3">
      <c r="A217" s="11">
        <f t="shared" si="6"/>
        <v>7</v>
      </c>
      <c r="B217" s="11">
        <f t="shared" si="7"/>
        <v>31</v>
      </c>
      <c r="C217" s="12">
        <v>45866</v>
      </c>
      <c r="D217" s="13">
        <v>121.864575</v>
      </c>
      <c r="E217" s="14">
        <v>122.17</v>
      </c>
    </row>
    <row r="218" spans="1:5" x14ac:dyDescent="0.3">
      <c r="A218" s="11">
        <f t="shared" si="6"/>
        <v>7</v>
      </c>
      <c r="B218" s="11">
        <f t="shared" si="7"/>
        <v>31</v>
      </c>
      <c r="C218" s="12">
        <v>45867</v>
      </c>
      <c r="D218" s="13">
        <v>122.533698</v>
      </c>
      <c r="E218" s="14">
        <v>122.8408</v>
      </c>
    </row>
    <row r="219" spans="1:5" x14ac:dyDescent="0.3">
      <c r="A219" s="11">
        <f t="shared" si="6"/>
        <v>7</v>
      </c>
      <c r="B219" s="11">
        <f t="shared" si="7"/>
        <v>31</v>
      </c>
      <c r="C219" s="12">
        <v>45868</v>
      </c>
      <c r="D219" s="13">
        <v>123.56212050000001</v>
      </c>
      <c r="E219" s="14">
        <v>123.87179999999999</v>
      </c>
    </row>
    <row r="220" spans="1:5" x14ac:dyDescent="0.3">
      <c r="A220" s="11">
        <f t="shared" si="6"/>
        <v>7</v>
      </c>
      <c r="B220" s="11">
        <f t="shared" si="7"/>
        <v>31</v>
      </c>
      <c r="C220" s="12">
        <v>45869</v>
      </c>
      <c r="D220" s="13">
        <v>124.1989245</v>
      </c>
      <c r="E220" s="14">
        <v>124.5102</v>
      </c>
    </row>
    <row r="221" spans="1:5" x14ac:dyDescent="0.3">
      <c r="A221" s="11">
        <f t="shared" si="6"/>
        <v>8</v>
      </c>
      <c r="B221" s="11">
        <f t="shared" si="7"/>
        <v>31</v>
      </c>
      <c r="C221" s="12">
        <v>45870</v>
      </c>
      <c r="D221" s="13">
        <v>125.9644995</v>
      </c>
      <c r="E221" s="14">
        <v>126.28019999999999</v>
      </c>
    </row>
    <row r="222" spans="1:5" x14ac:dyDescent="0.3">
      <c r="A222" s="11">
        <f t="shared" si="6"/>
        <v>8</v>
      </c>
      <c r="B222" s="11">
        <f t="shared" si="7"/>
        <v>31</v>
      </c>
      <c r="C222" s="12">
        <v>45871</v>
      </c>
      <c r="D222" s="13">
        <v>125.9644995</v>
      </c>
      <c r="E222" s="14">
        <v>126.28019999999999</v>
      </c>
    </row>
    <row r="223" spans="1:5" x14ac:dyDescent="0.3">
      <c r="A223" s="11">
        <f t="shared" si="6"/>
        <v>8</v>
      </c>
      <c r="B223" s="11">
        <f t="shared" si="7"/>
        <v>31</v>
      </c>
      <c r="C223" s="12">
        <v>45872</v>
      </c>
      <c r="D223" s="13">
        <v>125.9644995</v>
      </c>
      <c r="E223" s="14">
        <v>126.28019999999999</v>
      </c>
    </row>
    <row r="224" spans="1:5" x14ac:dyDescent="0.3">
      <c r="A224" s="11">
        <f t="shared" si="6"/>
        <v>8</v>
      </c>
      <c r="B224" s="11">
        <f t="shared" si="7"/>
        <v>32</v>
      </c>
      <c r="C224" s="12">
        <v>45873</v>
      </c>
      <c r="D224" s="13">
        <v>125.9644995</v>
      </c>
      <c r="E224" s="14">
        <v>126.28019999999999</v>
      </c>
    </row>
    <row r="225" spans="1:5" x14ac:dyDescent="0.3">
      <c r="A225" s="11">
        <f t="shared" si="6"/>
        <v>8</v>
      </c>
      <c r="B225" s="11">
        <f t="shared" si="7"/>
        <v>32</v>
      </c>
      <c r="C225" s="12">
        <v>45874</v>
      </c>
      <c r="D225" s="13">
        <v>126.79192575</v>
      </c>
      <c r="E225" s="14">
        <v>127.1097</v>
      </c>
    </row>
    <row r="226" spans="1:5" x14ac:dyDescent="0.3">
      <c r="A226" s="11">
        <f t="shared" si="6"/>
        <v>8</v>
      </c>
      <c r="B226" s="11">
        <f t="shared" si="7"/>
        <v>32</v>
      </c>
      <c r="C226" s="12">
        <v>45875</v>
      </c>
      <c r="D226" s="13">
        <v>127.92029775</v>
      </c>
      <c r="E226" s="14">
        <v>128.24090000000001</v>
      </c>
    </row>
    <row r="227" spans="1:5" x14ac:dyDescent="0.3">
      <c r="A227" s="11">
        <f t="shared" si="6"/>
        <v>8</v>
      </c>
      <c r="B227" s="11">
        <f t="shared" si="7"/>
        <v>32</v>
      </c>
      <c r="C227" s="12">
        <v>45876</v>
      </c>
      <c r="D227" s="13">
        <v>128.73086624999999</v>
      </c>
      <c r="E227" s="14">
        <v>129.05350000000001</v>
      </c>
    </row>
    <row r="228" spans="1:5" x14ac:dyDescent="0.3">
      <c r="A228" s="11">
        <f t="shared" si="6"/>
        <v>8</v>
      </c>
      <c r="B228" s="11">
        <f t="shared" si="7"/>
        <v>32</v>
      </c>
      <c r="C228" s="12">
        <v>45877</v>
      </c>
      <c r="D228" s="13">
        <v>129.740037</v>
      </c>
      <c r="E228" s="14">
        <v>130.0652</v>
      </c>
    </row>
    <row r="229" spans="1:5" x14ac:dyDescent="0.3">
      <c r="A229" s="11">
        <f t="shared" si="6"/>
        <v>8</v>
      </c>
      <c r="B229" s="11">
        <f t="shared" si="7"/>
        <v>32</v>
      </c>
      <c r="C229" s="12">
        <v>45878</v>
      </c>
      <c r="D229" s="13">
        <v>129.740037</v>
      </c>
      <c r="E229" s="14">
        <v>130.0652</v>
      </c>
    </row>
    <row r="230" spans="1:5" x14ac:dyDescent="0.3">
      <c r="A230" s="11">
        <f t="shared" si="6"/>
        <v>8</v>
      </c>
      <c r="B230" s="11">
        <f t="shared" si="7"/>
        <v>32</v>
      </c>
      <c r="C230" s="12">
        <v>45879</v>
      </c>
      <c r="D230" s="13">
        <v>129.740037</v>
      </c>
      <c r="E230" s="14">
        <v>130.0652</v>
      </c>
    </row>
    <row r="231" spans="1:5" x14ac:dyDescent="0.3">
      <c r="A231" s="11">
        <f t="shared" si="6"/>
        <v>8</v>
      </c>
      <c r="B231" s="11">
        <f t="shared" si="7"/>
        <v>33</v>
      </c>
      <c r="C231" s="12">
        <v>45880</v>
      </c>
      <c r="D231" s="13">
        <v>130.79628975</v>
      </c>
      <c r="E231" s="14">
        <v>131.1241</v>
      </c>
    </row>
    <row r="232" spans="1:5" x14ac:dyDescent="0.3">
      <c r="A232" s="11">
        <f t="shared" si="6"/>
        <v>8</v>
      </c>
      <c r="B232" s="11">
        <f t="shared" si="7"/>
        <v>33</v>
      </c>
      <c r="C232" s="12">
        <v>45881</v>
      </c>
      <c r="D232" s="13">
        <v>131.97184350000001</v>
      </c>
      <c r="E232" s="14">
        <v>132.30260000000001</v>
      </c>
    </row>
    <row r="233" spans="1:5" x14ac:dyDescent="0.3">
      <c r="A233" s="11">
        <f t="shared" si="6"/>
        <v>8</v>
      </c>
      <c r="B233" s="11">
        <f t="shared" si="7"/>
        <v>33</v>
      </c>
      <c r="C233" s="12">
        <v>45882</v>
      </c>
      <c r="D233" s="13">
        <v>133.18211024999999</v>
      </c>
      <c r="E233" s="14">
        <v>133.51589999999999</v>
      </c>
    </row>
    <row r="234" spans="1:5" x14ac:dyDescent="0.3">
      <c r="A234" s="11">
        <f t="shared" si="6"/>
        <v>8</v>
      </c>
      <c r="B234" s="11">
        <f t="shared" si="7"/>
        <v>33</v>
      </c>
      <c r="C234" s="12">
        <v>45883</v>
      </c>
      <c r="D234" s="13">
        <v>134.14499699999999</v>
      </c>
      <c r="E234" s="14">
        <v>134.4812</v>
      </c>
    </row>
    <row r="235" spans="1:5" x14ac:dyDescent="0.3">
      <c r="A235" s="11">
        <f t="shared" si="6"/>
        <v>8</v>
      </c>
      <c r="B235" s="11">
        <f t="shared" si="7"/>
        <v>33</v>
      </c>
      <c r="C235" s="12">
        <v>45884</v>
      </c>
      <c r="D235" s="13">
        <v>135.30080025000001</v>
      </c>
      <c r="E235" s="14">
        <v>135.63990000000001</v>
      </c>
    </row>
    <row r="236" spans="1:5" x14ac:dyDescent="0.3">
      <c r="A236" s="11">
        <f t="shared" si="6"/>
        <v>8</v>
      </c>
      <c r="B236" s="11">
        <f t="shared" si="7"/>
        <v>33</v>
      </c>
      <c r="C236" s="12">
        <v>45885</v>
      </c>
      <c r="D236" s="13">
        <v>135.30080025000001</v>
      </c>
      <c r="E236" s="14">
        <v>135.63990000000001</v>
      </c>
    </row>
    <row r="237" spans="1:5" x14ac:dyDescent="0.3">
      <c r="A237" s="11">
        <f t="shared" si="6"/>
        <v>8</v>
      </c>
      <c r="B237" s="11">
        <f t="shared" si="7"/>
        <v>33</v>
      </c>
      <c r="C237" s="12">
        <v>45886</v>
      </c>
      <c r="D237" s="13">
        <v>135.30080025000001</v>
      </c>
      <c r="E237" s="14">
        <v>135.63990000000001</v>
      </c>
    </row>
    <row r="238" spans="1:5" x14ac:dyDescent="0.3">
      <c r="A238" s="11">
        <f t="shared" si="6"/>
        <v>8</v>
      </c>
      <c r="B238" s="11">
        <f t="shared" si="7"/>
        <v>34</v>
      </c>
      <c r="C238" s="12">
        <v>45887</v>
      </c>
      <c r="D238" s="13">
        <v>135.30080025000001</v>
      </c>
      <c r="E238" s="14">
        <v>135.63990000000001</v>
      </c>
    </row>
    <row r="239" spans="1:5" x14ac:dyDescent="0.3">
      <c r="A239" s="11">
        <f t="shared" si="6"/>
        <v>8</v>
      </c>
      <c r="B239" s="11">
        <f t="shared" si="7"/>
        <v>34</v>
      </c>
      <c r="C239" s="12">
        <v>45888</v>
      </c>
      <c r="D239" s="13">
        <v>136.55086725000001</v>
      </c>
      <c r="E239" s="14">
        <v>136.8931</v>
      </c>
    </row>
    <row r="240" spans="1:5" x14ac:dyDescent="0.3">
      <c r="A240" s="11">
        <f t="shared" si="6"/>
        <v>8</v>
      </c>
      <c r="B240" s="11">
        <f t="shared" si="7"/>
        <v>34</v>
      </c>
      <c r="C240" s="12">
        <v>45889</v>
      </c>
      <c r="D240" s="13">
        <v>137.78297925000001</v>
      </c>
      <c r="E240" s="14">
        <v>138.1283</v>
      </c>
    </row>
    <row r="241" spans="1:5" x14ac:dyDescent="0.3">
      <c r="A241" s="11">
        <f t="shared" si="6"/>
        <v>8</v>
      </c>
      <c r="B241" s="11">
        <f t="shared" si="7"/>
        <v>34</v>
      </c>
      <c r="C241" s="12">
        <v>45890</v>
      </c>
      <c r="D241" s="13">
        <v>139.05309600000001</v>
      </c>
      <c r="E241" s="14">
        <v>139.4016</v>
      </c>
    </row>
    <row r="242" spans="1:5" x14ac:dyDescent="0.3">
      <c r="A242" s="11">
        <f t="shared" si="6"/>
        <v>8</v>
      </c>
      <c r="B242" s="11">
        <f t="shared" si="7"/>
        <v>34</v>
      </c>
      <c r="C242" s="12">
        <v>45891</v>
      </c>
      <c r="D242" s="13">
        <v>140.30834999999999</v>
      </c>
      <c r="E242" s="14">
        <v>140.66</v>
      </c>
    </row>
    <row r="243" spans="1:5" x14ac:dyDescent="0.3">
      <c r="A243" s="11">
        <f t="shared" si="6"/>
        <v>8</v>
      </c>
      <c r="B243" s="11">
        <f t="shared" si="7"/>
        <v>34</v>
      </c>
      <c r="C243" s="12">
        <v>45892</v>
      </c>
      <c r="D243" s="13">
        <v>140.30834999999999</v>
      </c>
      <c r="E243" s="14">
        <v>140.66</v>
      </c>
    </row>
    <row r="244" spans="1:5" x14ac:dyDescent="0.3">
      <c r="A244" s="11">
        <f t="shared" si="6"/>
        <v>8</v>
      </c>
      <c r="B244" s="11">
        <f t="shared" si="7"/>
        <v>34</v>
      </c>
      <c r="C244" s="12">
        <v>45893</v>
      </c>
      <c r="D244" s="13">
        <v>140.30834999999999</v>
      </c>
      <c r="E244" s="14">
        <v>140.66</v>
      </c>
    </row>
    <row r="245" spans="1:5" x14ac:dyDescent="0.3">
      <c r="A245" s="11">
        <f t="shared" si="6"/>
        <v>8</v>
      </c>
      <c r="B245" s="11">
        <f t="shared" si="7"/>
        <v>35</v>
      </c>
      <c r="C245" s="12">
        <v>45894</v>
      </c>
      <c r="D245" s="13">
        <v>141.52958924999999</v>
      </c>
      <c r="E245" s="14">
        <v>141.8843</v>
      </c>
    </row>
    <row r="246" spans="1:5" x14ac:dyDescent="0.3">
      <c r="A246" s="11">
        <f t="shared" si="6"/>
        <v>8</v>
      </c>
      <c r="B246" s="11">
        <f t="shared" si="7"/>
        <v>35</v>
      </c>
      <c r="C246" s="12">
        <v>45895</v>
      </c>
      <c r="D246" s="13">
        <v>142.68050475000001</v>
      </c>
      <c r="E246" s="14">
        <v>143.03809999999999</v>
      </c>
    </row>
    <row r="247" spans="1:5" x14ac:dyDescent="0.3">
      <c r="A247" s="11">
        <f t="shared" si="6"/>
        <v>8</v>
      </c>
      <c r="B247" s="11">
        <f t="shared" si="7"/>
        <v>35</v>
      </c>
      <c r="C247" s="12">
        <v>45896</v>
      </c>
      <c r="D247" s="13">
        <v>144.01226700000001</v>
      </c>
      <c r="E247" s="14">
        <v>144.3732</v>
      </c>
    </row>
    <row r="248" spans="1:5" x14ac:dyDescent="0.3">
      <c r="A248" s="11">
        <f t="shared" si="6"/>
        <v>8</v>
      </c>
      <c r="B248" s="11">
        <f t="shared" si="7"/>
        <v>35</v>
      </c>
      <c r="C248" s="12">
        <v>45897</v>
      </c>
      <c r="D248" s="13">
        <v>145.38093674999999</v>
      </c>
      <c r="E248" s="14">
        <v>145.74529999999999</v>
      </c>
    </row>
    <row r="249" spans="1:5" x14ac:dyDescent="0.3">
      <c r="A249" s="11">
        <f t="shared" si="6"/>
        <v>8</v>
      </c>
      <c r="B249" s="11">
        <f t="shared" si="7"/>
        <v>35</v>
      </c>
      <c r="C249" s="12">
        <v>45898</v>
      </c>
      <c r="D249" s="13">
        <v>146.71479375000001</v>
      </c>
      <c r="E249" s="14">
        <v>147.08250000000001</v>
      </c>
    </row>
    <row r="250" spans="1:5" x14ac:dyDescent="0.3">
      <c r="A250" s="11">
        <f t="shared" si="6"/>
        <v>8</v>
      </c>
      <c r="B250" s="11">
        <f t="shared" si="7"/>
        <v>35</v>
      </c>
      <c r="C250" s="12">
        <v>45899</v>
      </c>
      <c r="D250" s="13">
        <v>146.71479375000001</v>
      </c>
      <c r="E250" s="14">
        <v>147.08250000000001</v>
      </c>
    </row>
    <row r="251" spans="1:5" x14ac:dyDescent="0.3">
      <c r="A251" s="11">
        <f t="shared" si="6"/>
        <v>8</v>
      </c>
      <c r="B251" s="11">
        <f t="shared" si="7"/>
        <v>35</v>
      </c>
      <c r="C251" s="12">
        <v>45900</v>
      </c>
      <c r="D251" s="13">
        <v>146.71479375000001</v>
      </c>
      <c r="E251" s="14">
        <v>147.08250000000001</v>
      </c>
    </row>
    <row r="252" spans="1:5" x14ac:dyDescent="0.3">
      <c r="A252" s="11">
        <f t="shared" si="6"/>
        <v>9</v>
      </c>
      <c r="B252" s="11">
        <f t="shared" si="7"/>
        <v>36</v>
      </c>
      <c r="C252" s="12">
        <v>45901</v>
      </c>
      <c r="D252" s="13">
        <v>148.07289</v>
      </c>
      <c r="E252" s="14">
        <v>148.44399999999999</v>
      </c>
    </row>
    <row r="253" spans="1:5" x14ac:dyDescent="0.3">
      <c r="A253" s="11">
        <f t="shared" si="6"/>
        <v>9</v>
      </c>
      <c r="B253" s="11">
        <f t="shared" si="7"/>
        <v>36</v>
      </c>
      <c r="C253" s="12">
        <v>45902</v>
      </c>
      <c r="D253" s="13">
        <v>149.09403075</v>
      </c>
      <c r="E253" s="14">
        <v>149.46770000000001</v>
      </c>
    </row>
    <row r="254" spans="1:5" x14ac:dyDescent="0.3">
      <c r="A254" s="11">
        <f t="shared" si="6"/>
        <v>9</v>
      </c>
      <c r="B254" s="11">
        <f t="shared" si="7"/>
        <v>36</v>
      </c>
      <c r="C254" s="12">
        <v>45903</v>
      </c>
      <c r="D254" s="13">
        <v>150.41821200000001</v>
      </c>
      <c r="E254" s="14">
        <v>150.79519999999999</v>
      </c>
    </row>
    <row r="255" spans="1:5" x14ac:dyDescent="0.3">
      <c r="A255" s="11">
        <f t="shared" si="6"/>
        <v>9</v>
      </c>
      <c r="B255" s="11">
        <f t="shared" si="7"/>
        <v>36</v>
      </c>
      <c r="C255" s="12">
        <v>45904</v>
      </c>
      <c r="D255" s="13">
        <v>151.38329325000001</v>
      </c>
      <c r="E255" s="14">
        <v>151.7627</v>
      </c>
    </row>
    <row r="256" spans="1:5" x14ac:dyDescent="0.3">
      <c r="A256" s="11">
        <f t="shared" si="6"/>
        <v>9</v>
      </c>
      <c r="B256" s="11">
        <f t="shared" si="7"/>
        <v>36</v>
      </c>
      <c r="C256" s="12">
        <v>45905</v>
      </c>
      <c r="D256" s="13">
        <v>152.43954600000001</v>
      </c>
      <c r="E256" s="14">
        <v>152.82159999999999</v>
      </c>
    </row>
    <row r="257" spans="1:5" x14ac:dyDescent="0.3">
      <c r="A257" s="11">
        <f t="shared" si="6"/>
        <v>9</v>
      </c>
      <c r="B257" s="11">
        <f t="shared" si="7"/>
        <v>36</v>
      </c>
      <c r="C257" s="12">
        <v>45906</v>
      </c>
      <c r="D257" s="13">
        <v>152.43954600000001</v>
      </c>
      <c r="E257" s="14">
        <v>152.82159999999999</v>
      </c>
    </row>
    <row r="258" spans="1:5" x14ac:dyDescent="0.3">
      <c r="A258" s="11">
        <f t="shared" si="6"/>
        <v>9</v>
      </c>
      <c r="B258" s="11">
        <f t="shared" si="7"/>
        <v>36</v>
      </c>
      <c r="C258" s="12">
        <v>45907</v>
      </c>
      <c r="D258" s="13">
        <v>152.43954600000001</v>
      </c>
      <c r="E258" s="14">
        <v>152.82159999999999</v>
      </c>
    </row>
    <row r="259" spans="1:5" x14ac:dyDescent="0.3">
      <c r="A259" s="11">
        <f t="shared" si="6"/>
        <v>9</v>
      </c>
      <c r="B259" s="11">
        <f t="shared" si="7"/>
        <v>37</v>
      </c>
      <c r="C259" s="12">
        <v>45908</v>
      </c>
      <c r="D259" s="13">
        <v>153.62577300000001</v>
      </c>
      <c r="E259" s="14">
        <v>154.01079999999999</v>
      </c>
    </row>
    <row r="260" spans="1:5" x14ac:dyDescent="0.3">
      <c r="A260" s="11">
        <f t="shared" si="6"/>
        <v>9</v>
      </c>
      <c r="B260" s="11">
        <f t="shared" si="7"/>
        <v>37</v>
      </c>
      <c r="C260" s="12">
        <v>45909</v>
      </c>
      <c r="D260" s="13">
        <v>154.59504375</v>
      </c>
      <c r="E260" s="14">
        <v>154.98249999999999</v>
      </c>
    </row>
    <row r="261" spans="1:5" x14ac:dyDescent="0.3">
      <c r="A261" s="11">
        <f t="shared" si="6"/>
        <v>9</v>
      </c>
      <c r="B261" s="11">
        <f t="shared" si="7"/>
        <v>37</v>
      </c>
      <c r="C261" s="12">
        <v>45910</v>
      </c>
      <c r="D261" s="13">
        <v>155.98296525000001</v>
      </c>
      <c r="E261" s="14">
        <v>156.37389999999999</v>
      </c>
    </row>
    <row r="262" spans="1:5" x14ac:dyDescent="0.3">
      <c r="A262" s="11">
        <f t="shared" si="6"/>
        <v>9</v>
      </c>
      <c r="B262" s="11">
        <f t="shared" si="7"/>
        <v>37</v>
      </c>
      <c r="C262" s="12">
        <v>45911</v>
      </c>
      <c r="D262" s="13">
        <v>157.33437824999999</v>
      </c>
      <c r="E262" s="14">
        <v>157.7287</v>
      </c>
    </row>
    <row r="263" spans="1:5" x14ac:dyDescent="0.3">
      <c r="A263" s="11">
        <f t="shared" si="6"/>
        <v>9</v>
      </c>
      <c r="B263" s="11">
        <f t="shared" si="7"/>
        <v>37</v>
      </c>
      <c r="C263" s="12">
        <v>45912</v>
      </c>
      <c r="D263" s="13">
        <v>158.53157775</v>
      </c>
      <c r="E263" s="14">
        <v>158.9289</v>
      </c>
    </row>
    <row r="264" spans="1:5" x14ac:dyDescent="0.3">
      <c r="A264" s="11">
        <f t="shared" si="6"/>
        <v>9</v>
      </c>
      <c r="B264" s="11">
        <f t="shared" si="7"/>
        <v>37</v>
      </c>
      <c r="C264" s="12">
        <v>45913</v>
      </c>
      <c r="D264" s="13">
        <v>158.53157775</v>
      </c>
      <c r="E264" s="14">
        <v>158.9289</v>
      </c>
    </row>
    <row r="265" spans="1:5" x14ac:dyDescent="0.3">
      <c r="A265" s="11">
        <f t="shared" ref="A265:A328" si="8">+MONTH(C265)</f>
        <v>9</v>
      </c>
      <c r="B265" s="11">
        <f t="shared" ref="B265:B328" si="9">+WEEKNUM(C265,2)</f>
        <v>37</v>
      </c>
      <c r="C265" s="12">
        <v>45914</v>
      </c>
      <c r="D265" s="13">
        <v>158.53157775</v>
      </c>
      <c r="E265" s="14">
        <v>158.9289</v>
      </c>
    </row>
    <row r="266" spans="1:5" x14ac:dyDescent="0.3">
      <c r="A266" s="11">
        <f t="shared" si="8"/>
        <v>9</v>
      </c>
      <c r="B266" s="11">
        <f t="shared" si="9"/>
        <v>38</v>
      </c>
      <c r="C266" s="12">
        <v>45915</v>
      </c>
      <c r="D266" s="13">
        <v>158.53157775</v>
      </c>
      <c r="E266" s="14">
        <v>158.9289</v>
      </c>
    </row>
    <row r="267" spans="1:5" x14ac:dyDescent="0.3">
      <c r="A267" s="11">
        <f t="shared" si="8"/>
        <v>9</v>
      </c>
      <c r="B267" s="11">
        <f t="shared" si="9"/>
        <v>38</v>
      </c>
      <c r="C267" s="12">
        <v>45916</v>
      </c>
      <c r="D267" s="13">
        <v>160.04678025000001</v>
      </c>
      <c r="E267" s="14">
        <v>160.4479</v>
      </c>
    </row>
    <row r="268" spans="1:5" x14ac:dyDescent="0.3">
      <c r="A268" s="11">
        <f t="shared" si="8"/>
        <v>9</v>
      </c>
      <c r="B268" s="11">
        <f t="shared" si="9"/>
        <v>38</v>
      </c>
      <c r="C268" s="12">
        <v>45917</v>
      </c>
      <c r="D268" s="13">
        <v>161.48328000000001</v>
      </c>
      <c r="E268" s="14">
        <v>161.88800000000001</v>
      </c>
    </row>
    <row r="269" spans="1:5" x14ac:dyDescent="0.3">
      <c r="A269" s="11">
        <f t="shared" si="8"/>
        <v>9</v>
      </c>
      <c r="B269" s="11">
        <f t="shared" si="9"/>
        <v>38</v>
      </c>
      <c r="C269" s="12">
        <v>45918</v>
      </c>
      <c r="D269" s="13">
        <v>163.2382815</v>
      </c>
      <c r="E269" s="14">
        <v>163.6474</v>
      </c>
    </row>
    <row r="270" spans="1:5" x14ac:dyDescent="0.3">
      <c r="A270" s="11">
        <f t="shared" si="8"/>
        <v>9</v>
      </c>
      <c r="B270" s="11">
        <f t="shared" si="9"/>
        <v>38</v>
      </c>
      <c r="C270" s="12">
        <v>45919</v>
      </c>
      <c r="D270" s="13">
        <v>164.99657475000001</v>
      </c>
      <c r="E270" s="14">
        <v>165.4101</v>
      </c>
    </row>
    <row r="271" spans="1:5" x14ac:dyDescent="0.3">
      <c r="A271" s="11">
        <f t="shared" si="8"/>
        <v>9</v>
      </c>
      <c r="B271" s="11">
        <f t="shared" si="9"/>
        <v>38</v>
      </c>
      <c r="C271" s="12">
        <v>45920</v>
      </c>
      <c r="D271" s="13">
        <v>164.99657475000001</v>
      </c>
      <c r="E271" s="14">
        <v>165.4101</v>
      </c>
    </row>
    <row r="272" spans="1:5" x14ac:dyDescent="0.3">
      <c r="A272" s="11">
        <f t="shared" si="8"/>
        <v>9</v>
      </c>
      <c r="B272" s="11">
        <f t="shared" si="9"/>
        <v>38</v>
      </c>
      <c r="C272" s="12">
        <v>45921</v>
      </c>
      <c r="D272" s="13">
        <v>164.99657475000001</v>
      </c>
      <c r="E272" s="14">
        <v>165.4101</v>
      </c>
    </row>
    <row r="273" spans="1:5" x14ac:dyDescent="0.3">
      <c r="A273" s="11">
        <f t="shared" si="8"/>
        <v>9</v>
      </c>
      <c r="B273" s="11">
        <f t="shared" si="9"/>
        <v>39</v>
      </c>
      <c r="C273" s="12">
        <v>45922</v>
      </c>
      <c r="D273" s="13">
        <v>166.16694150000001</v>
      </c>
      <c r="E273" s="14">
        <v>166.58340000000001</v>
      </c>
    </row>
    <row r="274" spans="1:5" x14ac:dyDescent="0.3">
      <c r="A274" s="11">
        <f t="shared" si="8"/>
        <v>9</v>
      </c>
      <c r="B274" s="11">
        <f t="shared" si="9"/>
        <v>39</v>
      </c>
      <c r="C274" s="12">
        <v>45923</v>
      </c>
      <c r="D274" s="13">
        <v>167.99466075000001</v>
      </c>
      <c r="E274" s="14">
        <v>168.41569999999999</v>
      </c>
    </row>
    <row r="275" spans="1:5" x14ac:dyDescent="0.3">
      <c r="A275" s="11">
        <f t="shared" si="8"/>
        <v>9</v>
      </c>
      <c r="B275" s="11">
        <f t="shared" si="9"/>
        <v>39</v>
      </c>
      <c r="C275" s="12">
        <v>45924</v>
      </c>
      <c r="D275" s="13">
        <v>169.55115975000001</v>
      </c>
      <c r="E275" s="14">
        <v>169.9761</v>
      </c>
    </row>
    <row r="276" spans="1:5" x14ac:dyDescent="0.3">
      <c r="A276" s="11">
        <f t="shared" si="8"/>
        <v>9</v>
      </c>
      <c r="B276" s="11">
        <f t="shared" si="9"/>
        <v>39</v>
      </c>
      <c r="C276" s="12">
        <v>45925</v>
      </c>
      <c r="D276" s="13">
        <v>171.41618550000001</v>
      </c>
      <c r="E276" s="14">
        <v>171.8458</v>
      </c>
    </row>
    <row r="277" spans="1:5" x14ac:dyDescent="0.3">
      <c r="A277" s="11">
        <f t="shared" si="8"/>
        <v>9</v>
      </c>
      <c r="B277" s="11">
        <f t="shared" si="9"/>
        <v>39</v>
      </c>
      <c r="C277" s="12">
        <v>45926</v>
      </c>
      <c r="D277" s="13">
        <v>173.30175975</v>
      </c>
      <c r="E277" s="14">
        <v>173.73609999999999</v>
      </c>
    </row>
    <row r="278" spans="1:5" x14ac:dyDescent="0.3">
      <c r="A278" s="11">
        <f t="shared" si="8"/>
        <v>9</v>
      </c>
      <c r="B278" s="11">
        <f t="shared" si="9"/>
        <v>39</v>
      </c>
      <c r="C278" s="12">
        <v>45927</v>
      </c>
      <c r="D278" s="13">
        <v>173.30175975</v>
      </c>
      <c r="E278" s="14">
        <v>173.73609999999999</v>
      </c>
    </row>
    <row r="279" spans="1:5" x14ac:dyDescent="0.3">
      <c r="A279" s="11">
        <f t="shared" si="8"/>
        <v>9</v>
      </c>
      <c r="B279" s="11">
        <f t="shared" si="9"/>
        <v>39</v>
      </c>
      <c r="C279" s="12">
        <v>45928</v>
      </c>
      <c r="D279" s="13">
        <v>173.30175975</v>
      </c>
      <c r="E279" s="14">
        <v>173.73609999999999</v>
      </c>
    </row>
    <row r="280" spans="1:5" x14ac:dyDescent="0.3">
      <c r="A280" s="11">
        <f t="shared" si="8"/>
        <v>9</v>
      </c>
      <c r="B280" s="11">
        <f t="shared" si="9"/>
        <v>40</v>
      </c>
      <c r="C280" s="12">
        <v>45929</v>
      </c>
      <c r="D280" s="13">
        <v>175.20798224999999</v>
      </c>
      <c r="E280" s="14">
        <v>175.64709999999999</v>
      </c>
    </row>
    <row r="281" spans="1:5" x14ac:dyDescent="0.3">
      <c r="A281" s="11">
        <f t="shared" si="8"/>
        <v>9</v>
      </c>
      <c r="B281" s="11">
        <f t="shared" si="9"/>
        <v>40</v>
      </c>
      <c r="C281" s="12">
        <v>45930</v>
      </c>
      <c r="D281" s="13">
        <v>177.17026425</v>
      </c>
      <c r="E281" s="14">
        <v>177.61429999999999</v>
      </c>
    </row>
    <row r="282" spans="1:5" x14ac:dyDescent="0.3">
      <c r="A282" s="11">
        <f t="shared" si="8"/>
        <v>10</v>
      </c>
      <c r="B282" s="11">
        <f t="shared" si="9"/>
        <v>40</v>
      </c>
      <c r="C282" s="12">
        <v>45931</v>
      </c>
      <c r="D282" s="13">
        <v>178.982223</v>
      </c>
      <c r="E282" s="14">
        <v>179.4308</v>
      </c>
    </row>
    <row r="283" spans="1:5" x14ac:dyDescent="0.3">
      <c r="A283" s="11">
        <f t="shared" si="8"/>
        <v>10</v>
      </c>
      <c r="B283" s="11">
        <f t="shared" si="9"/>
        <v>40</v>
      </c>
      <c r="C283" s="12">
        <v>45932</v>
      </c>
      <c r="D283" s="13">
        <v>180.85044074999999</v>
      </c>
      <c r="E283" s="14">
        <v>181.30369999999999</v>
      </c>
    </row>
    <row r="284" spans="1:5" x14ac:dyDescent="0.3">
      <c r="A284" s="11">
        <f t="shared" si="8"/>
        <v>10</v>
      </c>
      <c r="B284" s="11">
        <f t="shared" si="9"/>
        <v>40</v>
      </c>
      <c r="C284" s="12">
        <v>45933</v>
      </c>
      <c r="D284" s="13">
        <v>180.85044074999999</v>
      </c>
      <c r="E284" s="14">
        <v>181.30369999999999</v>
      </c>
    </row>
    <row r="285" spans="1:5" x14ac:dyDescent="0.3">
      <c r="A285" s="11">
        <f t="shared" si="8"/>
        <v>10</v>
      </c>
      <c r="B285" s="11">
        <f t="shared" si="9"/>
        <v>40</v>
      </c>
      <c r="C285" s="12">
        <v>45934</v>
      </c>
      <c r="D285" s="13">
        <v>180.85044074999999</v>
      </c>
      <c r="E285" s="14">
        <v>181.30369999999999</v>
      </c>
    </row>
    <row r="286" spans="1:5" x14ac:dyDescent="0.3">
      <c r="A286" s="11">
        <f t="shared" si="8"/>
        <v>10</v>
      </c>
      <c r="B286" s="11">
        <f t="shared" si="9"/>
        <v>40</v>
      </c>
      <c r="C286" s="12">
        <v>45935</v>
      </c>
      <c r="D286" s="13">
        <v>180.85044074999999</v>
      </c>
      <c r="E286" s="14">
        <v>181.30369999999999</v>
      </c>
    </row>
    <row r="287" spans="1:5" x14ac:dyDescent="0.3">
      <c r="A287" s="11">
        <f t="shared" si="8"/>
        <v>10</v>
      </c>
      <c r="B287" s="11">
        <f t="shared" si="9"/>
        <v>41</v>
      </c>
      <c r="C287" s="12">
        <v>45936</v>
      </c>
      <c r="D287" s="13">
        <v>184.93480425000001</v>
      </c>
      <c r="E287" s="14">
        <v>185.39830000000001</v>
      </c>
    </row>
    <row r="288" spans="1:5" x14ac:dyDescent="0.3">
      <c r="A288" s="11">
        <f t="shared" si="8"/>
        <v>10</v>
      </c>
      <c r="B288" s="11">
        <f t="shared" si="9"/>
        <v>41</v>
      </c>
      <c r="C288" s="12">
        <v>45937</v>
      </c>
      <c r="D288" s="13">
        <v>186.82107675</v>
      </c>
      <c r="E288" s="14">
        <v>187.2893</v>
      </c>
    </row>
    <row r="289" spans="1:5" x14ac:dyDescent="0.3">
      <c r="A289" s="11">
        <f t="shared" si="8"/>
        <v>10</v>
      </c>
      <c r="B289" s="11">
        <f t="shared" si="9"/>
        <v>41</v>
      </c>
      <c r="C289" s="12">
        <v>45938</v>
      </c>
      <c r="D289" s="13">
        <v>188.78625149999999</v>
      </c>
      <c r="E289" s="14">
        <v>189.2594</v>
      </c>
    </row>
    <row r="290" spans="1:5" x14ac:dyDescent="0.3">
      <c r="A290" s="11">
        <f t="shared" si="8"/>
        <v>10</v>
      </c>
      <c r="B290" s="11">
        <f t="shared" si="9"/>
        <v>41</v>
      </c>
      <c r="C290" s="12">
        <v>45939</v>
      </c>
      <c r="D290" s="13">
        <v>190.88768475000001</v>
      </c>
      <c r="E290" s="14">
        <v>191.36609999999999</v>
      </c>
    </row>
    <row r="291" spans="1:5" x14ac:dyDescent="0.3">
      <c r="A291" s="11">
        <f t="shared" si="8"/>
        <v>10</v>
      </c>
      <c r="B291" s="11">
        <f t="shared" si="9"/>
        <v>41</v>
      </c>
      <c r="C291" s="12">
        <v>45940</v>
      </c>
      <c r="D291" s="13">
        <v>192.816351</v>
      </c>
      <c r="E291" s="14">
        <v>193.2996</v>
      </c>
    </row>
    <row r="292" spans="1:5" x14ac:dyDescent="0.3">
      <c r="A292" s="11">
        <f t="shared" si="8"/>
        <v>10</v>
      </c>
      <c r="B292" s="11">
        <f t="shared" si="9"/>
        <v>41</v>
      </c>
      <c r="C292" s="12">
        <v>45941</v>
      </c>
      <c r="D292" s="13">
        <v>192.816351</v>
      </c>
      <c r="E292" s="14">
        <v>193.2996</v>
      </c>
    </row>
    <row r="293" spans="1:5" x14ac:dyDescent="0.3">
      <c r="A293" s="11">
        <f t="shared" si="8"/>
        <v>10</v>
      </c>
      <c r="B293" s="11">
        <f t="shared" si="9"/>
        <v>41</v>
      </c>
      <c r="C293" s="12">
        <v>45942</v>
      </c>
      <c r="D293" s="13">
        <v>192.816351</v>
      </c>
      <c r="E293" s="14">
        <v>193.2996</v>
      </c>
    </row>
    <row r="294" spans="1:5" x14ac:dyDescent="0.3">
      <c r="A294" s="11">
        <f t="shared" si="8"/>
        <v>10</v>
      </c>
      <c r="B294" s="11">
        <f t="shared" si="9"/>
        <v>42</v>
      </c>
      <c r="C294" s="12">
        <v>45943</v>
      </c>
      <c r="D294" s="13">
        <v>194.76097725</v>
      </c>
      <c r="E294" s="14">
        <v>195.2491</v>
      </c>
    </row>
    <row r="295" spans="1:5" x14ac:dyDescent="0.3">
      <c r="A295" s="11">
        <f t="shared" si="8"/>
        <v>10</v>
      </c>
      <c r="B295" s="11">
        <f t="shared" si="9"/>
        <v>42</v>
      </c>
      <c r="C295" s="12">
        <v>45944</v>
      </c>
      <c r="D295" s="13">
        <v>196.752486</v>
      </c>
      <c r="E295" s="14">
        <v>197.2456</v>
      </c>
    </row>
    <row r="296" spans="1:5" x14ac:dyDescent="0.3">
      <c r="A296" s="11">
        <f t="shared" si="8"/>
        <v>10</v>
      </c>
      <c r="B296" s="11">
        <f t="shared" si="9"/>
        <v>42</v>
      </c>
      <c r="C296" s="12">
        <v>45945</v>
      </c>
      <c r="D296" s="13">
        <v>198.609432</v>
      </c>
      <c r="E296" s="14">
        <v>199.10720000000001</v>
      </c>
    </row>
    <row r="297" spans="1:5" x14ac:dyDescent="0.3">
      <c r="A297" s="11">
        <f t="shared" si="8"/>
        <v>10</v>
      </c>
      <c r="B297" s="11">
        <f t="shared" si="9"/>
        <v>42</v>
      </c>
      <c r="C297" s="12">
        <v>45946</v>
      </c>
      <c r="D297" s="13">
        <v>200.96283374999999</v>
      </c>
      <c r="E297" s="14">
        <v>201.4665</v>
      </c>
    </row>
    <row r="298" spans="1:5" x14ac:dyDescent="0.3">
      <c r="A298" s="11">
        <f t="shared" si="8"/>
        <v>10</v>
      </c>
      <c r="B298" s="11">
        <f t="shared" si="9"/>
        <v>42</v>
      </c>
      <c r="C298" s="12">
        <v>45947</v>
      </c>
      <c r="D298" s="13">
        <v>203.23264499999999</v>
      </c>
      <c r="E298" s="14">
        <v>203.74199999999999</v>
      </c>
    </row>
    <row r="299" spans="1:5" x14ac:dyDescent="0.3">
      <c r="A299" s="11">
        <f t="shared" si="8"/>
        <v>10</v>
      </c>
      <c r="B299" s="11">
        <f t="shared" si="9"/>
        <v>42</v>
      </c>
      <c r="C299" s="12">
        <v>45948</v>
      </c>
      <c r="D299" s="13">
        <v>203.23264499999999</v>
      </c>
      <c r="E299" s="14">
        <v>203.74199999999999</v>
      </c>
    </row>
    <row r="300" spans="1:5" x14ac:dyDescent="0.3">
      <c r="A300" s="11">
        <f t="shared" si="8"/>
        <v>10</v>
      </c>
      <c r="B300" s="11">
        <f t="shared" si="9"/>
        <v>42</v>
      </c>
      <c r="C300" s="12">
        <v>45949</v>
      </c>
      <c r="D300" s="13">
        <v>203.23264499999999</v>
      </c>
      <c r="E300" s="14">
        <v>203.74199999999999</v>
      </c>
    </row>
    <row r="301" spans="1:5" x14ac:dyDescent="0.3">
      <c r="A301" s="11">
        <f t="shared" si="8"/>
        <v>10</v>
      </c>
      <c r="B301" s="11">
        <f t="shared" si="9"/>
        <v>43</v>
      </c>
      <c r="C301" s="12">
        <v>45950</v>
      </c>
      <c r="D301" s="13">
        <v>205.16121150000001</v>
      </c>
      <c r="E301" s="14">
        <v>205.6754</v>
      </c>
    </row>
    <row r="302" spans="1:5" x14ac:dyDescent="0.3">
      <c r="A302" s="11">
        <f t="shared" si="8"/>
        <v>10</v>
      </c>
      <c r="B302" s="11">
        <f t="shared" si="9"/>
        <v>43</v>
      </c>
      <c r="C302" s="12">
        <v>45951</v>
      </c>
      <c r="D302" s="13">
        <v>207.3740655</v>
      </c>
      <c r="E302" s="14">
        <v>207.8938</v>
      </c>
    </row>
    <row r="303" spans="1:5" x14ac:dyDescent="0.3">
      <c r="A303" s="11">
        <f t="shared" si="8"/>
        <v>10</v>
      </c>
      <c r="B303" s="11">
        <f t="shared" si="9"/>
        <v>43</v>
      </c>
      <c r="C303" s="12">
        <v>45952</v>
      </c>
      <c r="D303" s="13">
        <v>209.75679375000001</v>
      </c>
      <c r="E303" s="14">
        <v>210.2825</v>
      </c>
    </row>
    <row r="304" spans="1:5" x14ac:dyDescent="0.3">
      <c r="A304" s="11">
        <f t="shared" si="8"/>
        <v>10</v>
      </c>
      <c r="B304" s="11">
        <f t="shared" si="9"/>
        <v>43</v>
      </c>
      <c r="C304" s="12">
        <v>45953</v>
      </c>
      <c r="D304" s="13">
        <v>211.95249075000001</v>
      </c>
      <c r="E304" s="14">
        <v>212.4837</v>
      </c>
    </row>
    <row r="305" spans="1:5" x14ac:dyDescent="0.3">
      <c r="A305" s="11">
        <f t="shared" si="8"/>
        <v>10</v>
      </c>
      <c r="B305" s="11">
        <f t="shared" si="9"/>
        <v>43</v>
      </c>
      <c r="C305" s="12">
        <v>45954</v>
      </c>
      <c r="D305" s="13">
        <v>213.88295249999999</v>
      </c>
      <c r="E305" s="14">
        <v>214.41900000000001</v>
      </c>
    </row>
    <row r="306" spans="1:5" x14ac:dyDescent="0.3">
      <c r="A306" s="11">
        <f t="shared" si="8"/>
        <v>10</v>
      </c>
      <c r="B306" s="11">
        <f t="shared" si="9"/>
        <v>43</v>
      </c>
      <c r="C306" s="12">
        <v>45955</v>
      </c>
      <c r="D306" s="13">
        <v>213.88295249999999</v>
      </c>
      <c r="E306" s="14">
        <v>214.41900000000001</v>
      </c>
    </row>
    <row r="307" spans="1:5" x14ac:dyDescent="0.3">
      <c r="A307" s="11">
        <f t="shared" si="8"/>
        <v>10</v>
      </c>
      <c r="B307" s="11">
        <f t="shared" si="9"/>
        <v>43</v>
      </c>
      <c r="C307" s="12">
        <v>45956</v>
      </c>
      <c r="D307" s="13">
        <v>213.88295249999999</v>
      </c>
      <c r="E307" s="14">
        <v>214.41900000000001</v>
      </c>
    </row>
    <row r="308" spans="1:5" x14ac:dyDescent="0.3">
      <c r="A308" s="11">
        <f t="shared" si="8"/>
        <v>10</v>
      </c>
      <c r="B308" s="11">
        <f t="shared" si="9"/>
        <v>44</v>
      </c>
      <c r="C308" s="12">
        <v>45957</v>
      </c>
      <c r="D308" s="13">
        <v>215.83047149999999</v>
      </c>
      <c r="E308" s="14">
        <v>216.37139999999999</v>
      </c>
    </row>
    <row r="309" spans="1:5" x14ac:dyDescent="0.3">
      <c r="A309" s="11">
        <f t="shared" si="8"/>
        <v>10</v>
      </c>
      <c r="B309" s="11">
        <f t="shared" si="9"/>
        <v>44</v>
      </c>
      <c r="C309" s="12">
        <v>45958</v>
      </c>
      <c r="D309" s="13">
        <v>217.62457499999999</v>
      </c>
      <c r="E309" s="14">
        <v>218.17</v>
      </c>
    </row>
    <row r="310" spans="1:5" x14ac:dyDescent="0.3">
      <c r="A310" s="11">
        <f t="shared" si="8"/>
        <v>10</v>
      </c>
      <c r="B310" s="11">
        <f t="shared" si="9"/>
        <v>44</v>
      </c>
      <c r="C310" s="12">
        <v>45959</v>
      </c>
      <c r="D310" s="13">
        <v>219.32401575</v>
      </c>
      <c r="E310" s="14">
        <v>219.87370000000001</v>
      </c>
    </row>
    <row r="311" spans="1:5" x14ac:dyDescent="0.3">
      <c r="A311" s="11">
        <f t="shared" si="8"/>
        <v>10</v>
      </c>
      <c r="B311" s="11">
        <f t="shared" si="9"/>
        <v>44</v>
      </c>
      <c r="C311" s="12">
        <v>45960</v>
      </c>
      <c r="D311" s="13">
        <v>221.18944049999999</v>
      </c>
      <c r="E311" s="14">
        <v>221.74379999999999</v>
      </c>
    </row>
    <row r="312" spans="1:5" x14ac:dyDescent="0.3">
      <c r="A312" s="11">
        <f t="shared" si="8"/>
        <v>10</v>
      </c>
      <c r="B312" s="11">
        <f t="shared" si="9"/>
        <v>44</v>
      </c>
      <c r="C312" s="12">
        <v>45961</v>
      </c>
      <c r="D312" s="13">
        <v>223.08678524999999</v>
      </c>
      <c r="E312" s="14">
        <v>223.64590000000001</v>
      </c>
    </row>
    <row r="313" spans="1:5" x14ac:dyDescent="0.3">
      <c r="A313" s="11">
        <f t="shared" si="8"/>
        <v>11</v>
      </c>
      <c r="B313" s="11">
        <f t="shared" si="9"/>
        <v>44</v>
      </c>
      <c r="C313" s="12">
        <v>45962</v>
      </c>
      <c r="D313" s="13">
        <v>223.08678524999999</v>
      </c>
      <c r="E313" s="14">
        <v>223.64590000000001</v>
      </c>
    </row>
    <row r="314" spans="1:5" x14ac:dyDescent="0.3">
      <c r="A314" s="11">
        <f t="shared" si="8"/>
        <v>11</v>
      </c>
      <c r="B314" s="11">
        <f t="shared" si="9"/>
        <v>44</v>
      </c>
      <c r="C314" s="12">
        <v>45963</v>
      </c>
      <c r="D314" s="13">
        <v>223.08678524999999</v>
      </c>
      <c r="E314" s="14">
        <v>223.64590000000001</v>
      </c>
    </row>
    <row r="315" spans="1:5" x14ac:dyDescent="0.3">
      <c r="A315" s="11">
        <f t="shared" si="8"/>
        <v>11</v>
      </c>
      <c r="B315" s="11">
        <f t="shared" si="9"/>
        <v>45</v>
      </c>
      <c r="C315" s="12">
        <v>45964</v>
      </c>
      <c r="D315" s="13">
        <v>223.40229450000001</v>
      </c>
      <c r="E315" s="14">
        <v>223.9622</v>
      </c>
    </row>
    <row r="316" spans="1:5" x14ac:dyDescent="0.3">
      <c r="A316" s="11">
        <f t="shared" si="8"/>
        <v>11</v>
      </c>
      <c r="B316" s="11">
        <f t="shared" si="9"/>
        <v>45</v>
      </c>
      <c r="C316" s="12">
        <v>45965</v>
      </c>
      <c r="D316" s="13">
        <v>223.8152595</v>
      </c>
      <c r="E316" s="14">
        <v>224.37620000000001</v>
      </c>
    </row>
    <row r="317" spans="1:5" x14ac:dyDescent="0.3">
      <c r="A317" s="11">
        <f t="shared" si="8"/>
        <v>11</v>
      </c>
      <c r="B317" s="11">
        <f t="shared" si="9"/>
        <v>45</v>
      </c>
      <c r="C317" s="12">
        <v>45966</v>
      </c>
      <c r="D317" s="13">
        <v>225.56517375000001</v>
      </c>
      <c r="E317" s="14">
        <v>226.13050000000001</v>
      </c>
    </row>
    <row r="318" spans="1:5" x14ac:dyDescent="0.3">
      <c r="A318" s="11">
        <f t="shared" si="8"/>
        <v>11</v>
      </c>
      <c r="B318" s="11">
        <f t="shared" si="9"/>
        <v>45</v>
      </c>
      <c r="C318" s="12">
        <v>45967</v>
      </c>
      <c r="D318" s="13">
        <v>226.98780825</v>
      </c>
      <c r="E318" s="14">
        <v>227.55670000000001</v>
      </c>
    </row>
    <row r="319" spans="1:5" x14ac:dyDescent="0.3">
      <c r="A319" s="11">
        <f t="shared" si="8"/>
        <v>11</v>
      </c>
      <c r="B319" s="11">
        <f t="shared" si="9"/>
        <v>45</v>
      </c>
      <c r="C319" s="12">
        <v>45968</v>
      </c>
      <c r="D319" s="13">
        <v>227.908401</v>
      </c>
      <c r="E319" s="14">
        <v>228.4796</v>
      </c>
    </row>
    <row r="320" spans="1:5" x14ac:dyDescent="0.3">
      <c r="A320" s="11">
        <f t="shared" si="8"/>
        <v>11</v>
      </c>
      <c r="B320" s="11">
        <f t="shared" si="9"/>
        <v>45</v>
      </c>
      <c r="C320" s="12">
        <v>45969</v>
      </c>
      <c r="D320" s="13">
        <v>227.908401</v>
      </c>
      <c r="E320" s="14">
        <v>228.4796</v>
      </c>
    </row>
    <row r="321" spans="1:5" x14ac:dyDescent="0.3">
      <c r="A321" s="11">
        <f t="shared" si="8"/>
        <v>11</v>
      </c>
      <c r="B321" s="11">
        <f t="shared" si="9"/>
        <v>45</v>
      </c>
      <c r="C321" s="12">
        <v>45970</v>
      </c>
      <c r="D321" s="13">
        <v>227.908401</v>
      </c>
      <c r="E321" s="14">
        <v>228.4796</v>
      </c>
    </row>
    <row r="322" spans="1:5" x14ac:dyDescent="0.3">
      <c r="A322" s="11">
        <f t="shared" si="8"/>
        <v>11</v>
      </c>
      <c r="B322" s="11">
        <f t="shared" si="9"/>
        <v>46</v>
      </c>
      <c r="C322" s="12">
        <v>45971</v>
      </c>
      <c r="D322" s="13">
        <v>230.46858449999999</v>
      </c>
      <c r="E322" s="14">
        <v>231.0462</v>
      </c>
    </row>
    <row r="323" spans="1:5" x14ac:dyDescent="0.3">
      <c r="A323" s="11">
        <f t="shared" si="8"/>
        <v>11</v>
      </c>
      <c r="B323" s="11">
        <f t="shared" si="9"/>
        <v>46</v>
      </c>
      <c r="C323" s="12">
        <v>45972</v>
      </c>
      <c r="D323" s="13">
        <v>230.5160655</v>
      </c>
      <c r="E323" s="14">
        <v>231.09379999999999</v>
      </c>
    </row>
    <row r="324" spans="1:5" x14ac:dyDescent="0.3">
      <c r="A324" s="11">
        <f t="shared" si="8"/>
        <v>11</v>
      </c>
      <c r="B324" s="11">
        <f t="shared" si="9"/>
        <v>46</v>
      </c>
      <c r="C324" s="12">
        <v>45973</v>
      </c>
      <c r="D324" s="13">
        <v>232.46318550000001</v>
      </c>
      <c r="E324" s="14">
        <v>233.04580000000001</v>
      </c>
    </row>
    <row r="325" spans="1:5" x14ac:dyDescent="0.3">
      <c r="A325" s="11">
        <f t="shared" si="8"/>
        <v>11</v>
      </c>
      <c r="B325" s="11">
        <f t="shared" si="9"/>
        <v>46</v>
      </c>
      <c r="C325" s="12">
        <v>45974</v>
      </c>
      <c r="D325" s="13">
        <v>232.97370599999999</v>
      </c>
      <c r="E325" s="14">
        <v>233.55760000000001</v>
      </c>
    </row>
    <row r="326" spans="1:5" x14ac:dyDescent="0.3">
      <c r="A326" s="11">
        <f t="shared" si="8"/>
        <v>11</v>
      </c>
      <c r="B326" s="11">
        <f t="shared" si="9"/>
        <v>46</v>
      </c>
      <c r="C326" s="12">
        <v>45975</v>
      </c>
      <c r="D326" s="13">
        <v>234.28432125</v>
      </c>
      <c r="E326" s="14">
        <v>234.8715</v>
      </c>
    </row>
    <row r="327" spans="1:5" x14ac:dyDescent="0.3">
      <c r="A327" s="11">
        <f t="shared" si="8"/>
        <v>11</v>
      </c>
      <c r="B327" s="11">
        <f t="shared" si="9"/>
        <v>46</v>
      </c>
      <c r="C327" s="12">
        <v>45976</v>
      </c>
      <c r="D327" s="13">
        <v>234.28432125</v>
      </c>
      <c r="E327" s="14">
        <v>234.8715</v>
      </c>
    </row>
    <row r="328" spans="1:5" x14ac:dyDescent="0.3">
      <c r="A328" s="11">
        <f t="shared" si="8"/>
        <v>11</v>
      </c>
      <c r="B328" s="11">
        <f t="shared" si="9"/>
        <v>46</v>
      </c>
      <c r="C328" s="12">
        <v>45977</v>
      </c>
      <c r="D328" s="13">
        <v>234.28432125</v>
      </c>
      <c r="E328" s="14">
        <v>234.8715</v>
      </c>
    </row>
    <row r="329" spans="1:5" x14ac:dyDescent="0.3">
      <c r="A329" s="11">
        <f t="shared" ref="A329:A373" si="10">+MONTH(C329)</f>
        <v>11</v>
      </c>
      <c r="B329" s="11">
        <f t="shared" ref="B329:B373" si="11">+WEEKNUM(C329,2)</f>
        <v>47</v>
      </c>
      <c r="C329" s="12">
        <v>45978</v>
      </c>
      <c r="D329" s="13">
        <v>235.86894975000001</v>
      </c>
      <c r="E329" s="14">
        <v>236.46010000000001</v>
      </c>
    </row>
    <row r="330" spans="1:5" x14ac:dyDescent="0.3">
      <c r="A330" s="11">
        <f t="shared" si="10"/>
        <v>11</v>
      </c>
      <c r="B330" s="11">
        <f t="shared" si="11"/>
        <v>47</v>
      </c>
      <c r="C330" s="12">
        <v>45979</v>
      </c>
      <c r="D330" s="13"/>
      <c r="E330" s="14"/>
    </row>
    <row r="331" spans="1:5" x14ac:dyDescent="0.3">
      <c r="A331" s="11">
        <f t="shared" si="10"/>
        <v>11</v>
      </c>
      <c r="B331" s="11">
        <f t="shared" si="11"/>
        <v>47</v>
      </c>
      <c r="C331" s="12">
        <v>45980</v>
      </c>
      <c r="D331" s="13"/>
      <c r="E331" s="14"/>
    </row>
    <row r="332" spans="1:5" x14ac:dyDescent="0.3">
      <c r="A332" s="11">
        <f t="shared" si="10"/>
        <v>11</v>
      </c>
      <c r="B332" s="11">
        <f t="shared" si="11"/>
        <v>47</v>
      </c>
      <c r="C332" s="12">
        <v>45981</v>
      </c>
      <c r="D332" s="13"/>
      <c r="E332" s="14"/>
    </row>
    <row r="333" spans="1:5" x14ac:dyDescent="0.3">
      <c r="A333" s="11">
        <f t="shared" si="10"/>
        <v>11</v>
      </c>
      <c r="B333" s="11">
        <f t="shared" si="11"/>
        <v>47</v>
      </c>
      <c r="C333" s="12">
        <v>45982</v>
      </c>
      <c r="D333" s="13"/>
      <c r="E333" s="14"/>
    </row>
    <row r="334" spans="1:5" x14ac:dyDescent="0.3">
      <c r="A334" s="11">
        <f t="shared" si="10"/>
        <v>11</v>
      </c>
      <c r="B334" s="11">
        <f t="shared" si="11"/>
        <v>47</v>
      </c>
      <c r="C334" s="12">
        <v>45983</v>
      </c>
      <c r="D334" s="13"/>
      <c r="E334" s="14"/>
    </row>
    <row r="335" spans="1:5" x14ac:dyDescent="0.3">
      <c r="A335" s="11">
        <f t="shared" si="10"/>
        <v>11</v>
      </c>
      <c r="B335" s="11">
        <f t="shared" si="11"/>
        <v>47</v>
      </c>
      <c r="C335" s="12">
        <v>45984</v>
      </c>
      <c r="D335" s="13"/>
      <c r="E335" s="14"/>
    </row>
    <row r="336" spans="1:5" x14ac:dyDescent="0.3">
      <c r="A336" s="11">
        <f t="shared" si="10"/>
        <v>11</v>
      </c>
      <c r="B336" s="11">
        <f t="shared" si="11"/>
        <v>48</v>
      </c>
      <c r="C336" s="12">
        <v>45985</v>
      </c>
      <c r="D336" s="13"/>
      <c r="E336" s="14"/>
    </row>
    <row r="337" spans="1:5" x14ac:dyDescent="0.3">
      <c r="A337" s="11">
        <f t="shared" si="10"/>
        <v>11</v>
      </c>
      <c r="B337" s="11">
        <f t="shared" si="11"/>
        <v>48</v>
      </c>
      <c r="C337" s="12">
        <v>45986</v>
      </c>
      <c r="D337" s="13"/>
      <c r="E337" s="14"/>
    </row>
    <row r="338" spans="1:5" x14ac:dyDescent="0.3">
      <c r="A338" s="11">
        <f t="shared" si="10"/>
        <v>11</v>
      </c>
      <c r="B338" s="11">
        <f t="shared" si="11"/>
        <v>48</v>
      </c>
      <c r="C338" s="12">
        <v>45987</v>
      </c>
      <c r="D338" s="13"/>
      <c r="E338" s="14"/>
    </row>
    <row r="339" spans="1:5" x14ac:dyDescent="0.3">
      <c r="A339" s="11">
        <f t="shared" si="10"/>
        <v>11</v>
      </c>
      <c r="B339" s="11">
        <f t="shared" si="11"/>
        <v>48</v>
      </c>
      <c r="C339" s="12">
        <v>45988</v>
      </c>
      <c r="D339" s="13"/>
      <c r="E339" s="14"/>
    </row>
    <row r="340" spans="1:5" x14ac:dyDescent="0.3">
      <c r="A340" s="11">
        <f t="shared" si="10"/>
        <v>11</v>
      </c>
      <c r="B340" s="11">
        <f t="shared" si="11"/>
        <v>48</v>
      </c>
      <c r="C340" s="12">
        <v>45989</v>
      </c>
      <c r="D340" s="13"/>
      <c r="E340" s="14"/>
    </row>
    <row r="341" spans="1:5" x14ac:dyDescent="0.3">
      <c r="A341" s="11">
        <f t="shared" si="10"/>
        <v>11</v>
      </c>
      <c r="B341" s="11">
        <f t="shared" si="11"/>
        <v>48</v>
      </c>
      <c r="C341" s="12">
        <v>45990</v>
      </c>
      <c r="D341" s="13"/>
      <c r="E341" s="14"/>
    </row>
    <row r="342" spans="1:5" x14ac:dyDescent="0.3">
      <c r="A342" s="11">
        <f t="shared" si="10"/>
        <v>11</v>
      </c>
      <c r="B342" s="11">
        <f t="shared" si="11"/>
        <v>48</v>
      </c>
      <c r="C342" s="12">
        <v>45991</v>
      </c>
      <c r="D342" s="13"/>
      <c r="E342" s="14"/>
    </row>
    <row r="343" spans="1:5" x14ac:dyDescent="0.3">
      <c r="A343" s="11">
        <f t="shared" si="10"/>
        <v>12</v>
      </c>
      <c r="B343" s="11">
        <f t="shared" si="11"/>
        <v>49</v>
      </c>
      <c r="C343" s="12">
        <v>45992</v>
      </c>
      <c r="D343" s="13"/>
      <c r="E343" s="14"/>
    </row>
    <row r="344" spans="1:5" x14ac:dyDescent="0.3">
      <c r="A344" s="11">
        <f t="shared" si="10"/>
        <v>12</v>
      </c>
      <c r="B344" s="11">
        <f t="shared" si="11"/>
        <v>49</v>
      </c>
      <c r="C344" s="12">
        <v>45993</v>
      </c>
      <c r="D344" s="13"/>
      <c r="E344" s="14"/>
    </row>
    <row r="345" spans="1:5" x14ac:dyDescent="0.3">
      <c r="A345" s="11">
        <f t="shared" si="10"/>
        <v>12</v>
      </c>
      <c r="B345" s="11">
        <f t="shared" si="11"/>
        <v>49</v>
      </c>
      <c r="C345" s="12">
        <v>45994</v>
      </c>
      <c r="D345" s="13"/>
      <c r="E345" s="14"/>
    </row>
    <row r="346" spans="1:5" x14ac:dyDescent="0.3">
      <c r="A346" s="11">
        <f t="shared" si="10"/>
        <v>12</v>
      </c>
      <c r="B346" s="11">
        <f t="shared" si="11"/>
        <v>49</v>
      </c>
      <c r="C346" s="12">
        <v>45995</v>
      </c>
      <c r="D346" s="13"/>
      <c r="E346" s="14"/>
    </row>
    <row r="347" spans="1:5" x14ac:dyDescent="0.3">
      <c r="A347" s="11">
        <f t="shared" si="10"/>
        <v>12</v>
      </c>
      <c r="B347" s="11">
        <f t="shared" si="11"/>
        <v>49</v>
      </c>
      <c r="C347" s="12">
        <v>45996</v>
      </c>
      <c r="D347" s="13"/>
      <c r="E347" s="14"/>
    </row>
    <row r="348" spans="1:5" x14ac:dyDescent="0.3">
      <c r="A348" s="11">
        <f t="shared" si="10"/>
        <v>12</v>
      </c>
      <c r="B348" s="11">
        <f t="shared" si="11"/>
        <v>49</v>
      </c>
      <c r="C348" s="12">
        <v>45997</v>
      </c>
      <c r="D348" s="13"/>
      <c r="E348" s="14"/>
    </row>
    <row r="349" spans="1:5" x14ac:dyDescent="0.3">
      <c r="A349" s="11">
        <f t="shared" si="10"/>
        <v>12</v>
      </c>
      <c r="B349" s="11">
        <f t="shared" si="11"/>
        <v>49</v>
      </c>
      <c r="C349" s="12">
        <v>45998</v>
      </c>
      <c r="D349" s="13"/>
      <c r="E349" s="14"/>
    </row>
    <row r="350" spans="1:5" x14ac:dyDescent="0.3">
      <c r="A350" s="11">
        <f t="shared" si="10"/>
        <v>12</v>
      </c>
      <c r="B350" s="11">
        <f t="shared" si="11"/>
        <v>50</v>
      </c>
      <c r="C350" s="12">
        <v>45999</v>
      </c>
      <c r="D350" s="13"/>
      <c r="E350" s="14"/>
    </row>
    <row r="351" spans="1:5" x14ac:dyDescent="0.3">
      <c r="A351" s="11">
        <f t="shared" si="10"/>
        <v>12</v>
      </c>
      <c r="B351" s="11">
        <f t="shared" si="11"/>
        <v>50</v>
      </c>
      <c r="C351" s="12">
        <v>46000</v>
      </c>
      <c r="D351" s="13"/>
      <c r="E351" s="14"/>
    </row>
    <row r="352" spans="1:5" x14ac:dyDescent="0.3">
      <c r="A352" s="11">
        <f t="shared" si="10"/>
        <v>12</v>
      </c>
      <c r="B352" s="11">
        <f t="shared" si="11"/>
        <v>50</v>
      </c>
      <c r="C352" s="12">
        <v>46001</v>
      </c>
      <c r="D352" s="13"/>
      <c r="E352" s="14"/>
    </row>
    <row r="353" spans="1:5" x14ac:dyDescent="0.3">
      <c r="A353" s="11">
        <f t="shared" si="10"/>
        <v>12</v>
      </c>
      <c r="B353" s="11">
        <f t="shared" si="11"/>
        <v>50</v>
      </c>
      <c r="C353" s="12">
        <v>46002</v>
      </c>
      <c r="D353" s="13"/>
      <c r="E353" s="14"/>
    </row>
    <row r="354" spans="1:5" x14ac:dyDescent="0.3">
      <c r="A354" s="11">
        <f t="shared" si="10"/>
        <v>12</v>
      </c>
      <c r="B354" s="11">
        <f t="shared" si="11"/>
        <v>50</v>
      </c>
      <c r="C354" s="12">
        <v>46003</v>
      </c>
      <c r="D354" s="13"/>
      <c r="E354" s="14"/>
    </row>
    <row r="355" spans="1:5" x14ac:dyDescent="0.3">
      <c r="A355" s="11">
        <f t="shared" si="10"/>
        <v>12</v>
      </c>
      <c r="B355" s="11">
        <f t="shared" si="11"/>
        <v>50</v>
      </c>
      <c r="C355" s="12">
        <v>46004</v>
      </c>
      <c r="D355" s="13"/>
      <c r="E355" s="14"/>
    </row>
    <row r="356" spans="1:5" x14ac:dyDescent="0.3">
      <c r="A356" s="11">
        <f t="shared" si="10"/>
        <v>12</v>
      </c>
      <c r="B356" s="11">
        <f t="shared" si="11"/>
        <v>50</v>
      </c>
      <c r="C356" s="12">
        <v>46005</v>
      </c>
      <c r="D356" s="13"/>
      <c r="E356" s="14"/>
    </row>
    <row r="357" spans="1:5" x14ac:dyDescent="0.3">
      <c r="A357" s="11">
        <f t="shared" si="10"/>
        <v>12</v>
      </c>
      <c r="B357" s="11">
        <f t="shared" si="11"/>
        <v>51</v>
      </c>
      <c r="C357" s="12">
        <v>46006</v>
      </c>
      <c r="D357" s="13"/>
      <c r="E357" s="14"/>
    </row>
    <row r="358" spans="1:5" x14ac:dyDescent="0.3">
      <c r="A358" s="11">
        <f t="shared" si="10"/>
        <v>12</v>
      </c>
      <c r="B358" s="11">
        <f t="shared" si="11"/>
        <v>51</v>
      </c>
      <c r="C358" s="12">
        <v>46007</v>
      </c>
      <c r="D358" s="13"/>
      <c r="E358" s="14"/>
    </row>
    <row r="359" spans="1:5" x14ac:dyDescent="0.3">
      <c r="A359" s="11">
        <f t="shared" si="10"/>
        <v>12</v>
      </c>
      <c r="B359" s="11">
        <f t="shared" si="11"/>
        <v>51</v>
      </c>
      <c r="C359" s="12">
        <v>46008</v>
      </c>
      <c r="D359" s="13"/>
      <c r="E359" s="14"/>
    </row>
    <row r="360" spans="1:5" x14ac:dyDescent="0.3">
      <c r="A360" s="11">
        <f t="shared" si="10"/>
        <v>12</v>
      </c>
      <c r="B360" s="11">
        <f t="shared" si="11"/>
        <v>51</v>
      </c>
      <c r="C360" s="12">
        <v>46009</v>
      </c>
      <c r="D360" s="13"/>
      <c r="E360" s="14"/>
    </row>
    <row r="361" spans="1:5" x14ac:dyDescent="0.3">
      <c r="A361" s="11">
        <f t="shared" si="10"/>
        <v>12</v>
      </c>
      <c r="B361" s="11">
        <f t="shared" si="11"/>
        <v>51</v>
      </c>
      <c r="C361" s="12">
        <v>46010</v>
      </c>
      <c r="D361" s="13"/>
      <c r="E361" s="14"/>
    </row>
    <row r="362" spans="1:5" x14ac:dyDescent="0.3">
      <c r="A362" s="11">
        <f t="shared" si="10"/>
        <v>12</v>
      </c>
      <c r="B362" s="11">
        <f t="shared" si="11"/>
        <v>51</v>
      </c>
      <c r="C362" s="12">
        <v>46011</v>
      </c>
      <c r="D362" s="13"/>
      <c r="E362" s="14"/>
    </row>
    <row r="363" spans="1:5" x14ac:dyDescent="0.3">
      <c r="A363" s="11">
        <f t="shared" si="10"/>
        <v>12</v>
      </c>
      <c r="B363" s="11">
        <f t="shared" si="11"/>
        <v>51</v>
      </c>
      <c r="C363" s="12">
        <v>46012</v>
      </c>
      <c r="D363" s="13"/>
      <c r="E363" s="14"/>
    </row>
    <row r="364" spans="1:5" x14ac:dyDescent="0.3">
      <c r="A364" s="11">
        <f t="shared" si="10"/>
        <v>12</v>
      </c>
      <c r="B364" s="11">
        <f t="shared" si="11"/>
        <v>52</v>
      </c>
      <c r="C364" s="12">
        <v>46013</v>
      </c>
      <c r="D364" s="13"/>
      <c r="E364" s="14"/>
    </row>
    <row r="365" spans="1:5" x14ac:dyDescent="0.3">
      <c r="A365" s="11">
        <f t="shared" si="10"/>
        <v>12</v>
      </c>
      <c r="B365" s="11">
        <f t="shared" si="11"/>
        <v>52</v>
      </c>
      <c r="C365" s="12">
        <v>46014</v>
      </c>
      <c r="D365" s="13"/>
      <c r="E365" s="14"/>
    </row>
    <row r="366" spans="1:5" x14ac:dyDescent="0.3">
      <c r="A366" s="11">
        <f t="shared" si="10"/>
        <v>12</v>
      </c>
      <c r="B366" s="11">
        <f t="shared" si="11"/>
        <v>52</v>
      </c>
      <c r="C366" s="12">
        <v>46015</v>
      </c>
      <c r="D366" s="13"/>
      <c r="E366" s="14"/>
    </row>
    <row r="367" spans="1:5" x14ac:dyDescent="0.3">
      <c r="A367" s="11">
        <f t="shared" si="10"/>
        <v>12</v>
      </c>
      <c r="B367" s="11">
        <f t="shared" si="11"/>
        <v>52</v>
      </c>
      <c r="C367" s="12">
        <v>46016</v>
      </c>
      <c r="D367" s="13"/>
      <c r="E367" s="14"/>
    </row>
    <row r="368" spans="1:5" x14ac:dyDescent="0.3">
      <c r="A368" s="11">
        <f t="shared" si="10"/>
        <v>12</v>
      </c>
      <c r="B368" s="11">
        <f t="shared" si="11"/>
        <v>52</v>
      </c>
      <c r="C368" s="12">
        <v>46017</v>
      </c>
      <c r="D368" s="13"/>
      <c r="E368" s="14"/>
    </row>
    <row r="369" spans="1:5" x14ac:dyDescent="0.3">
      <c r="A369" s="11">
        <f t="shared" si="10"/>
        <v>12</v>
      </c>
      <c r="B369" s="11">
        <f t="shared" si="11"/>
        <v>52</v>
      </c>
      <c r="C369" s="12">
        <v>46018</v>
      </c>
      <c r="D369" s="13"/>
      <c r="E369" s="14"/>
    </row>
    <row r="370" spans="1:5" x14ac:dyDescent="0.3">
      <c r="A370" s="11">
        <f t="shared" si="10"/>
        <v>12</v>
      </c>
      <c r="B370" s="11">
        <f t="shared" si="11"/>
        <v>52</v>
      </c>
      <c r="C370" s="12">
        <v>46019</v>
      </c>
      <c r="D370" s="13"/>
      <c r="E370" s="14"/>
    </row>
    <row r="371" spans="1:5" x14ac:dyDescent="0.3">
      <c r="A371" s="11">
        <f t="shared" si="10"/>
        <v>12</v>
      </c>
      <c r="B371" s="11">
        <f t="shared" si="11"/>
        <v>53</v>
      </c>
      <c r="C371" s="12">
        <v>46020</v>
      </c>
      <c r="D371" s="13"/>
      <c r="E371" s="14"/>
    </row>
    <row r="372" spans="1:5" x14ac:dyDescent="0.3">
      <c r="A372" s="11">
        <f t="shared" si="10"/>
        <v>12</v>
      </c>
      <c r="B372" s="11">
        <f t="shared" si="11"/>
        <v>53</v>
      </c>
      <c r="C372" s="12">
        <v>46021</v>
      </c>
      <c r="D372" s="13"/>
      <c r="E372" s="14"/>
    </row>
    <row r="373" spans="1:5" x14ac:dyDescent="0.3">
      <c r="A373" s="11">
        <f t="shared" si="10"/>
        <v>12</v>
      </c>
      <c r="B373" s="11">
        <f t="shared" si="11"/>
        <v>53</v>
      </c>
      <c r="C373" s="12">
        <v>46022</v>
      </c>
      <c r="D373" s="13"/>
      <c r="E373" s="14"/>
    </row>
    <row r="375" spans="1:5" x14ac:dyDescent="0.3">
      <c r="C375" s="19" t="s">
        <v>17</v>
      </c>
      <c r="D375" s="19"/>
      <c r="E375" s="19"/>
    </row>
    <row r="376" spans="1:5" x14ac:dyDescent="0.3">
      <c r="A376" s="20"/>
      <c r="B376" s="20"/>
      <c r="C376" s="21" t="s">
        <v>18</v>
      </c>
      <c r="D376" s="21"/>
      <c r="E376" s="25" t="s">
        <v>19</v>
      </c>
    </row>
    <row r="377" spans="1:5" x14ac:dyDescent="0.3">
      <c r="A377" s="22" t="s">
        <v>4</v>
      </c>
      <c r="B377" s="22" t="s">
        <v>20</v>
      </c>
      <c r="C377" s="23" t="s">
        <v>7</v>
      </c>
      <c r="D377" s="22" t="s">
        <v>8</v>
      </c>
      <c r="E377" s="22" t="s">
        <v>7</v>
      </c>
    </row>
    <row r="378" spans="1:5" x14ac:dyDescent="0.3">
      <c r="A378" s="11">
        <v>1</v>
      </c>
      <c r="B378" s="17" t="s">
        <v>9</v>
      </c>
      <c r="C378" s="24">
        <f t="shared" ref="C378:D389" si="12">+IFERROR(AVERAGEIF($A$10:$A$373,$A378,D$10:D$373),0)</f>
        <v>54.809702324999996</v>
      </c>
      <c r="D378" s="14">
        <f t="shared" si="12"/>
        <v>54.947069999999989</v>
      </c>
      <c r="E378" s="13">
        <f>+IFERROR(AVERAGEIF($A$10:$A$373,$A378,#REF!),0)</f>
        <v>0</v>
      </c>
    </row>
    <row r="379" spans="1:5" x14ac:dyDescent="0.3">
      <c r="A379" s="11">
        <v>2</v>
      </c>
      <c r="B379" s="17" t="s">
        <v>10</v>
      </c>
      <c r="C379" s="24">
        <f t="shared" si="12"/>
        <v>61.526708437500019</v>
      </c>
      <c r="D379" s="14">
        <f t="shared" si="12"/>
        <v>61.680910714285709</v>
      </c>
      <c r="E379" s="13">
        <f>+IFERROR(AVERAGEIF($A$10:$A$373,$A379,#REF!),0)</f>
        <v>0</v>
      </c>
    </row>
    <row r="380" spans="1:5" x14ac:dyDescent="0.3">
      <c r="A380" s="11">
        <v>3</v>
      </c>
      <c r="B380" s="17" t="s">
        <v>11</v>
      </c>
      <c r="C380" s="24">
        <f t="shared" si="12"/>
        <v>66.780185951612907</v>
      </c>
      <c r="D380" s="14">
        <f t="shared" si="12"/>
        <v>66.947554838709664</v>
      </c>
      <c r="E380" s="13">
        <f>+IFERROR(AVERAGEIF($A$10:$A$373,$A380,#REF!),0)</f>
        <v>0</v>
      </c>
    </row>
    <row r="381" spans="1:5" x14ac:dyDescent="0.3">
      <c r="A381" s="11">
        <v>4</v>
      </c>
      <c r="B381" s="17" t="s">
        <v>12</v>
      </c>
      <c r="C381" s="24">
        <f t="shared" si="12"/>
        <v>79.06074277499998</v>
      </c>
      <c r="D381" s="14">
        <f t="shared" si="12"/>
        <v>79.258890000000022</v>
      </c>
      <c r="E381" s="13">
        <f>+IFERROR(AVERAGEIF($A$10:$A$373,$A381,#REF!),0)</f>
        <v>0</v>
      </c>
    </row>
    <row r="382" spans="1:5" x14ac:dyDescent="0.3">
      <c r="A382" s="11">
        <v>5</v>
      </c>
      <c r="B382" s="17" t="s">
        <v>13</v>
      </c>
      <c r="C382" s="24">
        <f t="shared" si="12"/>
        <v>93.33643538709677</v>
      </c>
      <c r="D382" s="14">
        <f t="shared" si="12"/>
        <v>93.570361290322566</v>
      </c>
      <c r="E382" s="13">
        <f>+IFERROR(AVERAGEIF($A$10:$A$373,$A382,#REF!),0)</f>
        <v>0</v>
      </c>
    </row>
    <row r="383" spans="1:5" x14ac:dyDescent="0.3">
      <c r="A383" s="11">
        <v>6</v>
      </c>
      <c r="B383" s="17" t="s">
        <v>14</v>
      </c>
      <c r="C383" s="24">
        <f t="shared" si="12"/>
        <v>102.06668430000003</v>
      </c>
      <c r="D383" s="14">
        <f t="shared" si="12"/>
        <v>102.32261333333331</v>
      </c>
      <c r="E383" s="13">
        <f>+IFERROR(AVERAGEIF($A$10:$A$373,$A383,#REF!),0)</f>
        <v>0</v>
      </c>
    </row>
    <row r="384" spans="1:5" x14ac:dyDescent="0.3">
      <c r="A384" s="11">
        <v>7</v>
      </c>
      <c r="B384" s="17" t="s">
        <v>16</v>
      </c>
      <c r="C384" s="24">
        <f t="shared" si="12"/>
        <v>116.13860644354838</v>
      </c>
      <c r="D384" s="14">
        <f t="shared" si="12"/>
        <v>116.42968064516128</v>
      </c>
      <c r="E384" s="13">
        <f>+IFERROR(AVERAGEIF($A$10:$A$373,$A384,#REF!),0)</f>
        <v>0</v>
      </c>
    </row>
    <row r="385" spans="1:5" x14ac:dyDescent="0.3">
      <c r="A385" s="11">
        <v>8</v>
      </c>
      <c r="B385" s="17" t="s">
        <v>15</v>
      </c>
      <c r="C385" s="24">
        <f t="shared" si="12"/>
        <v>135.35094554032258</v>
      </c>
      <c r="D385" s="14">
        <f t="shared" si="12"/>
        <v>135.69017096774192</v>
      </c>
      <c r="E385" s="13">
        <f>+IFERROR(AVERAGEIF($A$10:$A$373,$A385,#REF!),0)</f>
        <v>0</v>
      </c>
    </row>
    <row r="386" spans="1:5" x14ac:dyDescent="0.3">
      <c r="A386" s="11">
        <v>9</v>
      </c>
      <c r="B386" s="17" t="s">
        <v>21</v>
      </c>
      <c r="C386" s="24">
        <f t="shared" si="12"/>
        <v>161.30406915000006</v>
      </c>
      <c r="D386" s="14">
        <f t="shared" si="12"/>
        <v>161.70834000000002</v>
      </c>
      <c r="E386" s="13">
        <f>+IFERROR(AVERAGEIF($A$10:$A$373,$A386,#REF!),0)</f>
        <v>0</v>
      </c>
    </row>
    <row r="387" spans="1:5" x14ac:dyDescent="0.3">
      <c r="A387" s="11">
        <v>10</v>
      </c>
      <c r="B387" s="17" t="s">
        <v>22</v>
      </c>
      <c r="C387" s="24">
        <f t="shared" si="12"/>
        <v>200.19339442741938</v>
      </c>
      <c r="D387" s="14">
        <f t="shared" si="12"/>
        <v>200.69513225806452</v>
      </c>
      <c r="E387" s="13">
        <f>+IFERROR(AVERAGEIF($A$10:$A$373,$A387,#REF!),0)</f>
        <v>0</v>
      </c>
    </row>
    <row r="388" spans="1:5" x14ac:dyDescent="0.3">
      <c r="A388" s="11">
        <v>11</v>
      </c>
      <c r="B388" s="17" t="s">
        <v>23</v>
      </c>
      <c r="C388" s="24">
        <f t="shared" si="12"/>
        <v>229.10663320588239</v>
      </c>
      <c r="D388" s="14">
        <f t="shared" si="12"/>
        <v>229.68083529411771</v>
      </c>
      <c r="E388" s="13">
        <f>+IFERROR(AVERAGEIF($A$10:$A$373,$A388,#REF!),0)</f>
        <v>0</v>
      </c>
    </row>
    <row r="389" spans="1:5" x14ac:dyDescent="0.3">
      <c r="A389" s="11">
        <v>12</v>
      </c>
      <c r="B389" s="17" t="s">
        <v>24</v>
      </c>
      <c r="C389" s="24">
        <f t="shared" si="12"/>
        <v>0</v>
      </c>
      <c r="D389" s="14">
        <f t="shared" si="12"/>
        <v>0</v>
      </c>
      <c r="E389" s="13">
        <f>+IFERROR(AVERAGEIF($A$10:$A$373,$A389,#REF!),0)</f>
        <v>0</v>
      </c>
    </row>
    <row r="390" spans="1:5" x14ac:dyDescent="0.3">
      <c r="A390" s="20"/>
    </row>
    <row r="391" spans="1:5" x14ac:dyDescent="0.3">
      <c r="A391" s="22" t="s">
        <v>25</v>
      </c>
      <c r="B391" s="22" t="s">
        <v>26</v>
      </c>
      <c r="C391" s="24">
        <f>+AVERAGE(D9:D373)</f>
        <v>113.87065479672897</v>
      </c>
      <c r="D391" s="14">
        <f>+AVERAGE(E9:E373)</f>
        <v>114.15605638629282</v>
      </c>
      <c r="E391" s="15" t="e">
        <f>+AVERAGE(#REF!)</f>
        <v>#REF!</v>
      </c>
    </row>
  </sheetData>
  <mergeCells count="4">
    <mergeCell ref="C375:E375"/>
    <mergeCell ref="C376:D376"/>
    <mergeCell ref="D6:E6"/>
    <mergeCell ref="D7:E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Tasas de Cambio 2025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A Pimentel</dc:creator>
  <cp:lastModifiedBy>Moises A Pimentel</cp:lastModifiedBy>
  <dcterms:created xsi:type="dcterms:W3CDTF">2025-11-18T19:45:11Z</dcterms:created>
  <dcterms:modified xsi:type="dcterms:W3CDTF">2025-11-18T19:47:55Z</dcterms:modified>
</cp:coreProperties>
</file>